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Tarun Yadav\Documents\Course 6th Sem\CE462\PROJECT 1\"/>
    </mc:Choice>
  </mc:AlternateContent>
  <xr:revisionPtr revIDLastSave="0" documentId="13_ncr:1_{8E554A77-CFB9-40CF-B206-9491C950DB5D}" xr6:coauthVersionLast="47" xr6:coauthVersionMax="47" xr10:uidLastSave="{00000000-0000-0000-0000-000000000000}"/>
  <bookViews>
    <workbookView xWindow="-108" yWindow="-108" windowWidth="23256" windowHeight="12456" tabRatio="532" firstSheet="3" activeTab="7" xr2:uid="{00000000-000D-0000-FFFF-FFFF00000000}"/>
  </bookViews>
  <sheets>
    <sheet name="gumbel" sheetId="1" r:id="rId1"/>
    <sheet name="lognormal" sheetId="2" r:id="rId2"/>
    <sheet name="Best Fit" sheetId="7" r:id="rId3"/>
    <sheet name="Time of Conc" sheetId="6" r:id="rId4"/>
    <sheet name="Drainage Design " sheetId="4" r:id="rId5"/>
    <sheet name="Triangular Gutter curb inlet  " sheetId="5" r:id="rId6"/>
    <sheet name="Hyetograph" sheetId="8" r:id="rId7"/>
    <sheet name="Adequecy " sheetId="9" r:id="rId8"/>
  </sheets>
  <externalReferences>
    <externalReference r:id="rId9"/>
  </externalReferenc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3" i="9" l="1"/>
  <c r="N14" i="9"/>
  <c r="M10" i="9"/>
  <c r="I18" i="9"/>
  <c r="I9" i="9"/>
  <c r="I8" i="9"/>
  <c r="B7" i="9"/>
  <c r="B8" i="9" s="1"/>
  <c r="I6" i="9"/>
  <c r="B6" i="9"/>
  <c r="C6" i="9" s="1"/>
  <c r="D6" i="9" s="1"/>
  <c r="E6" i="9" s="1"/>
  <c r="I13" i="9" s="1"/>
  <c r="J19" i="8"/>
  <c r="J10" i="8"/>
  <c r="C10" i="8"/>
  <c r="C11" i="8" s="1"/>
  <c r="J9" i="8"/>
  <c r="D9" i="8"/>
  <c r="E9" i="8" s="1"/>
  <c r="F9" i="8" s="1"/>
  <c r="J13" i="8" s="1"/>
  <c r="C9" i="8"/>
  <c r="E8" i="8"/>
  <c r="D8" i="8"/>
  <c r="C8" i="8"/>
  <c r="J7" i="8"/>
  <c r="C7" i="8"/>
  <c r="D7" i="8" s="1"/>
  <c r="E7" i="8" s="1"/>
  <c r="F7" i="8" s="1"/>
  <c r="J14" i="8" s="1"/>
  <c r="B9" i="9" l="1"/>
  <c r="C8" i="9"/>
  <c r="D8" i="9" s="1"/>
  <c r="E8" i="9" s="1"/>
  <c r="I12" i="9" s="1"/>
  <c r="C7" i="9"/>
  <c r="D7" i="9" s="1"/>
  <c r="E7" i="9" s="1"/>
  <c r="I14" i="9" s="1"/>
  <c r="F8" i="8"/>
  <c r="J15" i="8" s="1"/>
  <c r="C12" i="8"/>
  <c r="D11" i="8"/>
  <c r="E11" i="8" s="1"/>
  <c r="D10" i="8"/>
  <c r="E10" i="8" s="1"/>
  <c r="F10" i="8" s="1"/>
  <c r="J16" i="8" s="1"/>
  <c r="B10" i="9" l="1"/>
  <c r="C9" i="9"/>
  <c r="D9" i="9" s="1"/>
  <c r="E9" i="9" s="1"/>
  <c r="I15" i="9" s="1"/>
  <c r="F11" i="8"/>
  <c r="J12" i="8" s="1"/>
  <c r="C13" i="8"/>
  <c r="D12" i="8"/>
  <c r="E12" i="8" s="1"/>
  <c r="F12" i="8" s="1"/>
  <c r="J17" i="8" s="1"/>
  <c r="B11" i="9" l="1"/>
  <c r="C10" i="9"/>
  <c r="D10" i="9" s="1"/>
  <c r="E10" i="9" s="1"/>
  <c r="I11" i="9" s="1"/>
  <c r="C14" i="8"/>
  <c r="D13" i="8"/>
  <c r="E13" i="8" s="1"/>
  <c r="F13" i="8" s="1"/>
  <c r="J11" i="8" s="1"/>
  <c r="B12" i="9" l="1"/>
  <c r="C11" i="9"/>
  <c r="D11" i="9" s="1"/>
  <c r="E11" i="9" s="1"/>
  <c r="I16" i="9" s="1"/>
  <c r="C15" i="8"/>
  <c r="D14" i="8"/>
  <c r="E14" i="8" s="1"/>
  <c r="F14" i="8" s="1"/>
  <c r="J18" i="8" s="1"/>
  <c r="B13" i="9" l="1"/>
  <c r="C12" i="9"/>
  <c r="D12" i="9" s="1"/>
  <c r="E12" i="9" s="1"/>
  <c r="I10" i="9" s="1"/>
  <c r="C16" i="8"/>
  <c r="D15" i="8"/>
  <c r="E15" i="8" s="1"/>
  <c r="F15" i="8" s="1"/>
  <c r="B14" i="9" l="1"/>
  <c r="C13" i="9"/>
  <c r="D13" i="9" s="1"/>
  <c r="E13" i="9" s="1"/>
  <c r="I17" i="9" s="1"/>
  <c r="C17" i="8"/>
  <c r="D16" i="8"/>
  <c r="E16" i="8" s="1"/>
  <c r="F16" i="8" s="1"/>
  <c r="B15" i="9" l="1"/>
  <c r="C14" i="9"/>
  <c r="D14" i="9" s="1"/>
  <c r="E14" i="9" s="1"/>
  <c r="C18" i="8"/>
  <c r="D17" i="8"/>
  <c r="E17" i="8" s="1"/>
  <c r="F17" i="8" s="1"/>
  <c r="B16" i="9" l="1"/>
  <c r="C15" i="9"/>
  <c r="D15" i="9" s="1"/>
  <c r="E15" i="9" s="1"/>
  <c r="C19" i="8"/>
  <c r="D18" i="8"/>
  <c r="E18" i="8" s="1"/>
  <c r="F18" i="8" s="1"/>
  <c r="J20" i="8" s="1"/>
  <c r="B17" i="9" l="1"/>
  <c r="C16" i="9"/>
  <c r="D16" i="9" s="1"/>
  <c r="E16" i="9" s="1"/>
  <c r="C20" i="8"/>
  <c r="D19" i="8"/>
  <c r="E19" i="8" s="1"/>
  <c r="F19" i="8" s="1"/>
  <c r="J8" i="8" s="1"/>
  <c r="B18" i="9" l="1"/>
  <c r="C17" i="9"/>
  <c r="D17" i="9" s="1"/>
  <c r="E17" i="9" s="1"/>
  <c r="I19" i="9" s="1"/>
  <c r="C21" i="8"/>
  <c r="D21" i="8" s="1"/>
  <c r="E21" i="8" s="1"/>
  <c r="D20" i="8"/>
  <c r="E20" i="8" s="1"/>
  <c r="F20" i="8" s="1"/>
  <c r="J21" i="8" s="1"/>
  <c r="B19" i="9" l="1"/>
  <c r="C18" i="9"/>
  <c r="D18" i="9" s="1"/>
  <c r="E18" i="9" s="1"/>
  <c r="I7" i="9" s="1"/>
  <c r="F21" i="8"/>
  <c r="B20" i="9" l="1"/>
  <c r="C20" i="9" s="1"/>
  <c r="D20" i="9" s="1"/>
  <c r="C19" i="9"/>
  <c r="D19" i="9" s="1"/>
  <c r="E19" i="9" s="1"/>
  <c r="I20" i="9" s="1"/>
  <c r="H13" i="7"/>
  <c r="I13" i="7"/>
  <c r="J13" i="7"/>
  <c r="K13" i="7"/>
  <c r="L13" i="7"/>
  <c r="D2" i="7"/>
  <c r="D13" i="7" s="1"/>
  <c r="BZ18" i="5"/>
  <c r="BZ19" i="5"/>
  <c r="BZ20" i="5"/>
  <c r="BZ21" i="5"/>
  <c r="BZ22" i="5"/>
  <c r="BZ17" i="5"/>
  <c r="CA18" i="5"/>
  <c r="CA19" i="5"/>
  <c r="CA20" i="5"/>
  <c r="CA21" i="5"/>
  <c r="CA22" i="5"/>
  <c r="BU25" i="5"/>
  <c r="BW25" i="5" s="1"/>
  <c r="BU26" i="5"/>
  <c r="BT26" i="5"/>
  <c r="BT27" i="5"/>
  <c r="BT28" i="5"/>
  <c r="BT29" i="5"/>
  <c r="BT30" i="5"/>
  <c r="BT25" i="5"/>
  <c r="BU27" i="5"/>
  <c r="BO26" i="5"/>
  <c r="BO27" i="5"/>
  <c r="BO28" i="5"/>
  <c r="BO29" i="5"/>
  <c r="BO30" i="5"/>
  <c r="BO25" i="5"/>
  <c r="BW27" i="5"/>
  <c r="BU28" i="5" s="1"/>
  <c r="BV25" i="5"/>
  <c r="BQ26" i="5"/>
  <c r="BQ27" i="5"/>
  <c r="BQ29" i="5"/>
  <c r="BQ30" i="5"/>
  <c r="BQ25" i="5"/>
  <c r="BK30" i="5"/>
  <c r="BS30" i="5" s="1"/>
  <c r="BS29" i="5"/>
  <c r="BS28" i="5"/>
  <c r="BS27" i="5"/>
  <c r="BS26" i="5"/>
  <c r="BS25" i="5"/>
  <c r="BO15" i="5"/>
  <c r="BQ15" i="5" s="1"/>
  <c r="BR15" i="5" s="1"/>
  <c r="BS15" i="5" s="1"/>
  <c r="BM15" i="5"/>
  <c r="BN15" i="5" s="1"/>
  <c r="BM30" i="5" s="1"/>
  <c r="BN30" i="5" s="1"/>
  <c r="BO14" i="5"/>
  <c r="BQ14" i="5" s="1"/>
  <c r="BR14" i="5" s="1"/>
  <c r="BS14" i="5" s="1"/>
  <c r="BM14" i="5"/>
  <c r="BN14" i="5" s="1"/>
  <c r="BO11" i="5"/>
  <c r="BW10" i="5"/>
  <c r="BO10" i="5"/>
  <c r="BO12" i="5" s="1"/>
  <c r="BM10" i="5"/>
  <c r="BN10" i="5" s="1"/>
  <c r="BW9" i="5"/>
  <c r="BW8" i="5"/>
  <c r="BO8" i="5"/>
  <c r="BW7" i="5"/>
  <c r="BQ7" i="5"/>
  <c r="BM7" i="5"/>
  <c r="BW6" i="5"/>
  <c r="BS6" i="5"/>
  <c r="BM6" i="5"/>
  <c r="BN6" i="5" s="1"/>
  <c r="BM8" i="5" s="1"/>
  <c r="L3" i="4"/>
  <c r="E20" i="9" l="1"/>
  <c r="BW26" i="5"/>
  <c r="BW28" i="5"/>
  <c r="BV26" i="5"/>
  <c r="BV28" i="5"/>
  <c r="BV27" i="5"/>
  <c r="BV29" i="5"/>
  <c r="BM29" i="5"/>
  <c r="BN29" i="5" s="1"/>
  <c r="BM17" i="5"/>
  <c r="BR30" i="5"/>
  <c r="BP18" i="5" s="1"/>
  <c r="BQ18" i="5" s="1"/>
  <c r="BR19" i="5" s="1"/>
  <c r="BS19" i="5" s="1"/>
  <c r="BN9" i="5"/>
  <c r="BV30" i="5"/>
  <c r="BM25" i="5"/>
  <c r="BN25" i="5" s="1"/>
  <c r="BQ10" i="5"/>
  <c r="BR10" i="5" s="1"/>
  <c r="BS10" i="5" s="1"/>
  <c r="BM27" i="5" s="1"/>
  <c r="BN27" i="5" s="1"/>
  <c r="BM12" i="5"/>
  <c r="BM18" i="5"/>
  <c r="BU29" i="5" l="1"/>
  <c r="BW29" i="5" s="1"/>
  <c r="BU30" i="5" s="1"/>
  <c r="BW30" i="5" s="1"/>
  <c r="BR27" i="5"/>
  <c r="BP12" i="5" s="1"/>
  <c r="BQ12" i="5" s="1"/>
  <c r="BR13" i="5" s="1"/>
  <c r="BS13" i="5" s="1"/>
  <c r="BM11" i="5"/>
  <c r="BN13" i="5" s="1"/>
  <c r="BR29" i="5"/>
  <c r="BP17" i="5" s="1"/>
  <c r="BQ17" i="5" s="1"/>
  <c r="BR25" i="5"/>
  <c r="BP8" i="5" s="1"/>
  <c r="BQ8" i="5" s="1"/>
  <c r="BR9" i="5" s="1"/>
  <c r="BS9" i="5" s="1"/>
  <c r="BM26" i="5" s="1"/>
  <c r="BN26" i="5" s="1"/>
  <c r="BR26" i="5" l="1"/>
  <c r="BP11" i="5" s="1"/>
  <c r="BQ11" i="5" s="1"/>
  <c r="BM16" i="5"/>
  <c r="BN19" i="5" s="1"/>
  <c r="BM28" i="5"/>
  <c r="BN28" i="5" l="1"/>
  <c r="BQ28" i="5"/>
  <c r="BR28" i="5"/>
  <c r="BP16" i="5" s="1"/>
  <c r="BQ16" i="5" s="1"/>
  <c r="G22" i="4" l="1"/>
  <c r="D27" i="4"/>
  <c r="M27" i="4"/>
  <c r="L27" i="4"/>
  <c r="M26" i="4"/>
  <c r="L26" i="4"/>
  <c r="H12" i="4"/>
  <c r="J12" i="4" s="1"/>
  <c r="K12" i="4" s="1"/>
  <c r="L12" i="4" s="1"/>
  <c r="H11" i="4"/>
  <c r="J11" i="4" s="1"/>
  <c r="K11" i="4" s="1"/>
  <c r="L11" i="4" s="1"/>
  <c r="L22" i="4"/>
  <c r="L23" i="4"/>
  <c r="N23" i="4" s="1"/>
  <c r="O23" i="4" s="1"/>
  <c r="L25" i="4"/>
  <c r="N25" i="4" s="1"/>
  <c r="O25" i="4" s="1"/>
  <c r="H8" i="4"/>
  <c r="L24" i="4"/>
  <c r="M24" i="4" s="1"/>
  <c r="K24" i="4"/>
  <c r="K25" i="4"/>
  <c r="K26" i="4"/>
  <c r="N26" i="4" s="1"/>
  <c r="O26" i="4" s="1"/>
  <c r="K27" i="4"/>
  <c r="N27" i="4" s="1"/>
  <c r="O27" i="4" s="1"/>
  <c r="H7" i="4"/>
  <c r="H9" i="4" s="1"/>
  <c r="K23" i="4"/>
  <c r="J4" i="4"/>
  <c r="H5" i="4"/>
  <c r="N22" i="4"/>
  <c r="O22" i="4" s="1"/>
  <c r="K22" i="4"/>
  <c r="AD13" i="6"/>
  <c r="P7" i="4"/>
  <c r="P6" i="4"/>
  <c r="P5" i="4"/>
  <c r="P4" i="4"/>
  <c r="P3" i="4"/>
  <c r="AD16" i="6"/>
  <c r="AD19" i="6"/>
  <c r="AD22" i="6"/>
  <c r="AD25" i="6"/>
  <c r="AE14" i="6"/>
  <c r="AE15" i="6"/>
  <c r="AE17" i="6"/>
  <c r="AE18" i="6"/>
  <c r="AE20" i="6"/>
  <c r="AE21" i="6"/>
  <c r="AE23" i="6"/>
  <c r="AE24" i="6"/>
  <c r="AB10" i="6"/>
  <c r="AA22" i="6"/>
  <c r="AA13" i="6"/>
  <c r="AA16" i="6"/>
  <c r="AA19" i="6"/>
  <c r="AA25" i="6"/>
  <c r="L10" i="7"/>
  <c r="K10" i="7"/>
  <c r="J10" i="7"/>
  <c r="I10" i="7"/>
  <c r="H10" i="7"/>
  <c r="G10" i="7"/>
  <c r="F10" i="7"/>
  <c r="E10" i="7"/>
  <c r="D10" i="7"/>
  <c r="L9" i="7"/>
  <c r="K9" i="7"/>
  <c r="J9" i="7"/>
  <c r="I9" i="7"/>
  <c r="H9" i="7"/>
  <c r="G9" i="7"/>
  <c r="F9" i="7"/>
  <c r="E9" i="7"/>
  <c r="D9" i="7"/>
  <c r="G2" i="7"/>
  <c r="G13" i="7" s="1"/>
  <c r="F2" i="7"/>
  <c r="F13" i="7" s="1"/>
  <c r="E2" i="7"/>
  <c r="E13" i="7" s="1"/>
  <c r="N24" i="4" l="1"/>
  <c r="O24" i="4" s="1"/>
  <c r="M25" i="4"/>
  <c r="J7" i="4"/>
  <c r="K7" i="4" s="1"/>
  <c r="L7" i="4" s="1"/>
  <c r="M23" i="4"/>
  <c r="M22" i="4"/>
  <c r="D12" i="6"/>
  <c r="D15" i="6"/>
  <c r="D18" i="6"/>
  <c r="D21" i="6"/>
  <c r="D9" i="6"/>
  <c r="F4" i="4"/>
  <c r="F7" i="4"/>
  <c r="G7" i="4" s="1"/>
  <c r="F11" i="4"/>
  <c r="G11" i="4" s="1"/>
  <c r="F12" i="4"/>
  <c r="G12" i="4" s="1"/>
  <c r="F3" i="4"/>
  <c r="G3" i="4" s="1"/>
  <c r="F5" i="4" s="1"/>
  <c r="M69" i="2"/>
  <c r="J69" i="2"/>
  <c r="G69" i="2"/>
  <c r="D69" i="2"/>
  <c r="AB64" i="2"/>
  <c r="Y64" i="2"/>
  <c r="V64" i="2"/>
  <c r="S64" i="2"/>
  <c r="P64" i="2"/>
  <c r="M64" i="2"/>
  <c r="J64" i="2"/>
  <c r="G64" i="2"/>
  <c r="D64" i="2"/>
  <c r="AB63" i="2"/>
  <c r="Y63" i="2"/>
  <c r="V63" i="2"/>
  <c r="S63" i="2"/>
  <c r="P63" i="2"/>
  <c r="M63" i="2"/>
  <c r="J63" i="2"/>
  <c r="G63" i="2"/>
  <c r="D63" i="2"/>
  <c r="AB62" i="2"/>
  <c r="Y62" i="2"/>
  <c r="V62" i="2"/>
  <c r="S62" i="2"/>
  <c r="P62" i="2"/>
  <c r="M62" i="2"/>
  <c r="J62" i="2"/>
  <c r="G62" i="2"/>
  <c r="D62" i="2"/>
  <c r="AB61" i="2"/>
  <c r="Y61" i="2"/>
  <c r="V61" i="2"/>
  <c r="S61" i="2"/>
  <c r="P61" i="2"/>
  <c r="M61" i="2"/>
  <c r="J61" i="2"/>
  <c r="G61" i="2"/>
  <c r="D61" i="2"/>
  <c r="AB60" i="2"/>
  <c r="Y60" i="2"/>
  <c r="V60" i="2"/>
  <c r="S60" i="2"/>
  <c r="P60" i="2"/>
  <c r="M60" i="2"/>
  <c r="J60" i="2"/>
  <c r="G60" i="2"/>
  <c r="D60" i="2"/>
  <c r="AB59" i="2"/>
  <c r="Y59" i="2"/>
  <c r="V59" i="2"/>
  <c r="S59" i="2"/>
  <c r="P59" i="2"/>
  <c r="M59" i="2"/>
  <c r="J59" i="2"/>
  <c r="G59" i="2"/>
  <c r="D59" i="2"/>
  <c r="AB58" i="2"/>
  <c r="Y58" i="2"/>
  <c r="V58" i="2"/>
  <c r="S58" i="2"/>
  <c r="P58" i="2"/>
  <c r="M58" i="2"/>
  <c r="J58" i="2"/>
  <c r="G58" i="2"/>
  <c r="D58" i="2"/>
  <c r="AB57" i="2"/>
  <c r="Y57" i="2"/>
  <c r="V57" i="2"/>
  <c r="S57" i="2"/>
  <c r="P57" i="2"/>
  <c r="M57" i="2"/>
  <c r="J57" i="2"/>
  <c r="G57" i="2"/>
  <c r="D57" i="2"/>
  <c r="AB56" i="2"/>
  <c r="Y56" i="2"/>
  <c r="V56" i="2"/>
  <c r="S56" i="2"/>
  <c r="P56" i="2"/>
  <c r="M56" i="2"/>
  <c r="J56" i="2"/>
  <c r="G56" i="2"/>
  <c r="D56" i="2"/>
  <c r="AB55" i="2"/>
  <c r="Y55" i="2"/>
  <c r="V55" i="2"/>
  <c r="S55" i="2"/>
  <c r="P55" i="2"/>
  <c r="M55" i="2"/>
  <c r="J55" i="2"/>
  <c r="G55" i="2"/>
  <c r="D55" i="2"/>
  <c r="AB54" i="2"/>
  <c r="Y54" i="2"/>
  <c r="V54" i="2"/>
  <c r="S54" i="2"/>
  <c r="P54" i="2"/>
  <c r="M54" i="2"/>
  <c r="J54" i="2"/>
  <c r="G54" i="2"/>
  <c r="D54" i="2"/>
  <c r="AB53" i="2"/>
  <c r="Y53" i="2"/>
  <c r="V53" i="2"/>
  <c r="S53" i="2"/>
  <c r="P53" i="2"/>
  <c r="M53" i="2"/>
  <c r="J53" i="2"/>
  <c r="G53" i="2"/>
  <c r="D53" i="2"/>
  <c r="AB52" i="2"/>
  <c r="Y52" i="2"/>
  <c r="V52" i="2"/>
  <c r="S52" i="2"/>
  <c r="P52" i="2"/>
  <c r="M52" i="2"/>
  <c r="J52" i="2"/>
  <c r="G52" i="2"/>
  <c r="D52" i="2"/>
  <c r="AB51" i="2"/>
  <c r="Y51" i="2"/>
  <c r="V51" i="2"/>
  <c r="S51" i="2"/>
  <c r="P51" i="2"/>
  <c r="M51" i="2"/>
  <c r="J51" i="2"/>
  <c r="G51" i="2"/>
  <c r="D51" i="2"/>
  <c r="AB50" i="2"/>
  <c r="Y50" i="2"/>
  <c r="V50" i="2"/>
  <c r="S50" i="2"/>
  <c r="P50" i="2"/>
  <c r="M50" i="2"/>
  <c r="J50" i="2"/>
  <c r="G50" i="2"/>
  <c r="D50" i="2"/>
  <c r="AB49" i="2"/>
  <c r="Y49" i="2"/>
  <c r="V49" i="2"/>
  <c r="S49" i="2"/>
  <c r="P49" i="2"/>
  <c r="M49" i="2"/>
  <c r="J49" i="2"/>
  <c r="G49" i="2"/>
  <c r="D49" i="2"/>
  <c r="AB48" i="2"/>
  <c r="Y48" i="2"/>
  <c r="V48" i="2"/>
  <c r="S48" i="2"/>
  <c r="P48" i="2"/>
  <c r="M48" i="2"/>
  <c r="J48" i="2"/>
  <c r="G48" i="2"/>
  <c r="D48" i="2"/>
  <c r="AB47" i="2"/>
  <c r="Y47" i="2"/>
  <c r="V47" i="2"/>
  <c r="S47" i="2"/>
  <c r="P47" i="2"/>
  <c r="M47" i="2"/>
  <c r="J47" i="2"/>
  <c r="G47" i="2"/>
  <c r="D47" i="2"/>
  <c r="AB46" i="2"/>
  <c r="Y46" i="2"/>
  <c r="V46" i="2"/>
  <c r="S46" i="2"/>
  <c r="P46" i="2"/>
  <c r="M46" i="2"/>
  <c r="J46" i="2"/>
  <c r="G46" i="2"/>
  <c r="D46" i="2"/>
  <c r="AB45" i="2"/>
  <c r="Y45" i="2"/>
  <c r="V45" i="2"/>
  <c r="S45" i="2"/>
  <c r="P45" i="2"/>
  <c r="M45" i="2"/>
  <c r="J45" i="2"/>
  <c r="G45" i="2"/>
  <c r="D45" i="2"/>
  <c r="AB44" i="2"/>
  <c r="Y44" i="2"/>
  <c r="V44" i="2"/>
  <c r="S44" i="2"/>
  <c r="P44" i="2"/>
  <c r="M44" i="2"/>
  <c r="J44" i="2"/>
  <c r="G44" i="2"/>
  <c r="D44" i="2"/>
  <c r="AB43" i="2"/>
  <c r="Y43" i="2"/>
  <c r="V43" i="2"/>
  <c r="S43" i="2"/>
  <c r="P43" i="2"/>
  <c r="M43" i="2"/>
  <c r="J43" i="2"/>
  <c r="G43" i="2"/>
  <c r="D43" i="2"/>
  <c r="AB42" i="2"/>
  <c r="Y42" i="2"/>
  <c r="V42" i="2"/>
  <c r="S42" i="2"/>
  <c r="P42" i="2"/>
  <c r="M42" i="2"/>
  <c r="J42" i="2"/>
  <c r="G42" i="2"/>
  <c r="D42" i="2"/>
  <c r="AB41" i="2"/>
  <c r="Y41" i="2"/>
  <c r="V41" i="2"/>
  <c r="S41" i="2"/>
  <c r="P41" i="2"/>
  <c r="M41" i="2"/>
  <c r="J41" i="2"/>
  <c r="G41" i="2"/>
  <c r="D41" i="2"/>
  <c r="AB40" i="2"/>
  <c r="Y40" i="2"/>
  <c r="V40" i="2"/>
  <c r="S40" i="2"/>
  <c r="P40" i="2"/>
  <c r="M40" i="2"/>
  <c r="J40" i="2"/>
  <c r="G40" i="2"/>
  <c r="D40" i="2"/>
  <c r="AB39" i="2"/>
  <c r="Y39" i="2"/>
  <c r="V39" i="2"/>
  <c r="S39" i="2"/>
  <c r="P39" i="2"/>
  <c r="M39" i="2"/>
  <c r="J39" i="2"/>
  <c r="G39" i="2"/>
  <c r="D39" i="2"/>
  <c r="AB38" i="2"/>
  <c r="Y38" i="2"/>
  <c r="V38" i="2"/>
  <c r="S38" i="2"/>
  <c r="P38" i="2"/>
  <c r="M38" i="2"/>
  <c r="J38" i="2"/>
  <c r="G38" i="2"/>
  <c r="D38" i="2"/>
  <c r="AB37" i="2"/>
  <c r="Y37" i="2"/>
  <c r="V37" i="2"/>
  <c r="S37" i="2"/>
  <c r="P37" i="2"/>
  <c r="M37" i="2"/>
  <c r="J37" i="2"/>
  <c r="G37" i="2"/>
  <c r="D37" i="2"/>
  <c r="AB36" i="2"/>
  <c r="Y36" i="2"/>
  <c r="V36" i="2"/>
  <c r="S36" i="2"/>
  <c r="P36" i="2"/>
  <c r="M36" i="2"/>
  <c r="J36" i="2"/>
  <c r="G36" i="2"/>
  <c r="D36" i="2"/>
  <c r="AB35" i="2"/>
  <c r="Y35" i="2"/>
  <c r="V35" i="2"/>
  <c r="S35" i="2"/>
  <c r="P35" i="2"/>
  <c r="M35" i="2"/>
  <c r="J35" i="2"/>
  <c r="G35" i="2"/>
  <c r="D35" i="2"/>
  <c r="AB34" i="2"/>
  <c r="Y34" i="2"/>
  <c r="V34" i="2"/>
  <c r="S34" i="2"/>
  <c r="P34" i="2"/>
  <c r="M34" i="2"/>
  <c r="J34" i="2"/>
  <c r="G34" i="2"/>
  <c r="D34" i="2"/>
  <c r="AB33" i="2"/>
  <c r="Y33" i="2"/>
  <c r="V33" i="2"/>
  <c r="S33" i="2"/>
  <c r="P33" i="2"/>
  <c r="M33" i="2"/>
  <c r="J33" i="2"/>
  <c r="G33" i="2"/>
  <c r="D33" i="2"/>
  <c r="AB32" i="2"/>
  <c r="Y32" i="2"/>
  <c r="V32" i="2"/>
  <c r="S32" i="2"/>
  <c r="P32" i="2"/>
  <c r="M32" i="2"/>
  <c r="J32" i="2"/>
  <c r="G32" i="2"/>
  <c r="D32" i="2"/>
  <c r="AB31" i="2"/>
  <c r="Y31" i="2"/>
  <c r="V31" i="2"/>
  <c r="S31" i="2"/>
  <c r="P31" i="2"/>
  <c r="M31" i="2"/>
  <c r="J31" i="2"/>
  <c r="G31" i="2"/>
  <c r="D31" i="2"/>
  <c r="AB30" i="2"/>
  <c r="Y30" i="2"/>
  <c r="V30" i="2"/>
  <c r="S30" i="2"/>
  <c r="P30" i="2"/>
  <c r="M30" i="2"/>
  <c r="J30" i="2"/>
  <c r="G30" i="2"/>
  <c r="D30" i="2"/>
  <c r="AB29" i="2"/>
  <c r="Y29" i="2"/>
  <c r="V29" i="2"/>
  <c r="S29" i="2"/>
  <c r="P29" i="2"/>
  <c r="M29" i="2"/>
  <c r="J29" i="2"/>
  <c r="G29" i="2"/>
  <c r="D29" i="2"/>
  <c r="AB28" i="2"/>
  <c r="Y28" i="2"/>
  <c r="V28" i="2"/>
  <c r="S28" i="2"/>
  <c r="P28" i="2"/>
  <c r="M28" i="2"/>
  <c r="J28" i="2"/>
  <c r="G28" i="2"/>
  <c r="D28" i="2"/>
  <c r="AB27" i="2"/>
  <c r="Y27" i="2"/>
  <c r="V27" i="2"/>
  <c r="S27" i="2"/>
  <c r="P27" i="2"/>
  <c r="M27" i="2"/>
  <c r="J27" i="2"/>
  <c r="G27" i="2"/>
  <c r="D27" i="2"/>
  <c r="AB26" i="2"/>
  <c r="Y26" i="2"/>
  <c r="V26" i="2"/>
  <c r="S26" i="2"/>
  <c r="P26" i="2"/>
  <c r="M26" i="2"/>
  <c r="J26" i="2"/>
  <c r="G26" i="2"/>
  <c r="D26" i="2"/>
  <c r="AB25" i="2"/>
  <c r="Y25" i="2"/>
  <c r="V25" i="2"/>
  <c r="S25" i="2"/>
  <c r="P25" i="2"/>
  <c r="M25" i="2"/>
  <c r="J25" i="2"/>
  <c r="G25" i="2"/>
  <c r="D25" i="2"/>
  <c r="AB24" i="2"/>
  <c r="Y24" i="2"/>
  <c r="V24" i="2"/>
  <c r="S24" i="2"/>
  <c r="P24" i="2"/>
  <c r="M24" i="2"/>
  <c r="J24" i="2"/>
  <c r="G24" i="2"/>
  <c r="D24" i="2"/>
  <c r="AB23" i="2"/>
  <c r="Y23" i="2"/>
  <c r="V23" i="2"/>
  <c r="S23" i="2"/>
  <c r="P23" i="2"/>
  <c r="M23" i="2"/>
  <c r="J23" i="2"/>
  <c r="G23" i="2"/>
  <c r="D23" i="2"/>
  <c r="AB22" i="2"/>
  <c r="Y22" i="2"/>
  <c r="V22" i="2"/>
  <c r="S22" i="2"/>
  <c r="P22" i="2"/>
  <c r="M22" i="2"/>
  <c r="J22" i="2"/>
  <c r="G22" i="2"/>
  <c r="D22" i="2"/>
  <c r="AB21" i="2"/>
  <c r="Y21" i="2"/>
  <c r="V21" i="2"/>
  <c r="S21" i="2"/>
  <c r="P21" i="2"/>
  <c r="M21" i="2"/>
  <c r="J21" i="2"/>
  <c r="G21" i="2"/>
  <c r="D21" i="2"/>
  <c r="AB20" i="2"/>
  <c r="Y20" i="2"/>
  <c r="V20" i="2"/>
  <c r="S20" i="2"/>
  <c r="P20" i="2"/>
  <c r="M20" i="2"/>
  <c r="J20" i="2"/>
  <c r="G20" i="2"/>
  <c r="D20" i="2"/>
  <c r="AB19" i="2"/>
  <c r="Y19" i="2"/>
  <c r="V19" i="2"/>
  <c r="S19" i="2"/>
  <c r="P19" i="2"/>
  <c r="M19" i="2"/>
  <c r="J19" i="2"/>
  <c r="G19" i="2"/>
  <c r="D19" i="2"/>
  <c r="AB18" i="2"/>
  <c r="Y18" i="2"/>
  <c r="V18" i="2"/>
  <c r="S18" i="2"/>
  <c r="P18" i="2"/>
  <c r="M18" i="2"/>
  <c r="J18" i="2"/>
  <c r="G18" i="2"/>
  <c r="D18" i="2"/>
  <c r="AB17" i="2"/>
  <c r="Y17" i="2"/>
  <c r="V17" i="2"/>
  <c r="S17" i="2"/>
  <c r="P17" i="2"/>
  <c r="M17" i="2"/>
  <c r="J17" i="2"/>
  <c r="G17" i="2"/>
  <c r="D17" i="2"/>
  <c r="AB16" i="2"/>
  <c r="Y16" i="2"/>
  <c r="V16" i="2"/>
  <c r="S16" i="2"/>
  <c r="P16" i="2"/>
  <c r="M16" i="2"/>
  <c r="J16" i="2"/>
  <c r="G16" i="2"/>
  <c r="D16" i="2"/>
  <c r="AB15" i="2"/>
  <c r="Y15" i="2"/>
  <c r="V15" i="2"/>
  <c r="S15" i="2"/>
  <c r="P15" i="2"/>
  <c r="M15" i="2"/>
  <c r="J15" i="2"/>
  <c r="G15" i="2"/>
  <c r="D15" i="2"/>
  <c r="AB14" i="2"/>
  <c r="Y14" i="2"/>
  <c r="V14" i="2"/>
  <c r="S14" i="2"/>
  <c r="P14" i="2"/>
  <c r="M14" i="2"/>
  <c r="J14" i="2"/>
  <c r="G14" i="2"/>
  <c r="D14" i="2"/>
  <c r="AB13" i="2"/>
  <c r="Y13" i="2"/>
  <c r="V13" i="2"/>
  <c r="S13" i="2"/>
  <c r="P13" i="2"/>
  <c r="M13" i="2"/>
  <c r="J13" i="2"/>
  <c r="G13" i="2"/>
  <c r="D13" i="2"/>
  <c r="AB12" i="2"/>
  <c r="Y12" i="2"/>
  <c r="V12" i="2"/>
  <c r="S12" i="2"/>
  <c r="P12" i="2"/>
  <c r="M12" i="2"/>
  <c r="J12" i="2"/>
  <c r="G12" i="2"/>
  <c r="D12" i="2"/>
  <c r="AB11" i="2"/>
  <c r="Y11" i="2"/>
  <c r="V11" i="2"/>
  <c r="S11" i="2"/>
  <c r="P11" i="2"/>
  <c r="M11" i="2"/>
  <c r="J11" i="2"/>
  <c r="G11" i="2"/>
  <c r="D11" i="2"/>
  <c r="AB10" i="2"/>
  <c r="Y10" i="2"/>
  <c r="V10" i="2"/>
  <c r="S10" i="2"/>
  <c r="P10" i="2"/>
  <c r="M10" i="2"/>
  <c r="J10" i="2"/>
  <c r="G10" i="2"/>
  <c r="D10" i="2"/>
  <c r="AB9" i="2"/>
  <c r="Y9" i="2"/>
  <c r="V9" i="2"/>
  <c r="S9" i="2"/>
  <c r="P9" i="2"/>
  <c r="M9" i="2"/>
  <c r="J9" i="2"/>
  <c r="G9" i="2"/>
  <c r="D9" i="2"/>
  <c r="AB8" i="2"/>
  <c r="Y8" i="2"/>
  <c r="V8" i="2"/>
  <c r="S8" i="2"/>
  <c r="P8" i="2"/>
  <c r="M8" i="2"/>
  <c r="J8" i="2"/>
  <c r="G8" i="2"/>
  <c r="D8" i="2"/>
  <c r="AB7" i="2"/>
  <c r="Y7" i="2"/>
  <c r="V7" i="2"/>
  <c r="S7" i="2"/>
  <c r="P7" i="2"/>
  <c r="M7" i="2"/>
  <c r="J7" i="2"/>
  <c r="G7" i="2"/>
  <c r="D7" i="2"/>
  <c r="AB6" i="2"/>
  <c r="Y6" i="2"/>
  <c r="V6" i="2"/>
  <c r="S6" i="2"/>
  <c r="P6" i="2"/>
  <c r="M6" i="2"/>
  <c r="J6" i="2"/>
  <c r="G6" i="2"/>
  <c r="D6" i="2"/>
  <c r="AB5" i="2"/>
  <c r="Y5" i="2"/>
  <c r="V5" i="2"/>
  <c r="S5" i="2"/>
  <c r="P5" i="2"/>
  <c r="M5" i="2"/>
  <c r="J5" i="2"/>
  <c r="G5" i="2"/>
  <c r="D5" i="2"/>
  <c r="Q70" i="1"/>
  <c r="P70" i="1"/>
  <c r="O70" i="1"/>
  <c r="N70" i="1"/>
  <c r="J66" i="1"/>
  <c r="I66" i="1"/>
  <c r="H66" i="1"/>
  <c r="G66" i="1"/>
  <c r="F66" i="1"/>
  <c r="E66" i="1"/>
  <c r="D66" i="1"/>
  <c r="C66" i="1"/>
  <c r="B66" i="1"/>
  <c r="AO65" i="1"/>
  <c r="AL65" i="1"/>
  <c r="AC65" i="1"/>
  <c r="J65" i="1"/>
  <c r="I65" i="1"/>
  <c r="H65" i="1"/>
  <c r="G65" i="1"/>
  <c r="F65" i="1"/>
  <c r="E65" i="1"/>
  <c r="D65" i="1"/>
  <c r="C65" i="1"/>
  <c r="B65" i="1"/>
  <c r="AU64" i="1"/>
  <c r="AL64" i="1"/>
  <c r="AI64" i="1"/>
  <c r="V63" i="1"/>
  <c r="AX65" i="1" s="1"/>
  <c r="U63" i="1"/>
  <c r="AU65" i="1" s="1"/>
  <c r="T63" i="1"/>
  <c r="AR65" i="1" s="1"/>
  <c r="S63" i="1"/>
  <c r="R63" i="1"/>
  <c r="Q63" i="1"/>
  <c r="AI65" i="1" s="1"/>
  <c r="P63" i="1"/>
  <c r="AF65" i="1" s="1"/>
  <c r="O63" i="1"/>
  <c r="N63" i="1"/>
  <c r="Z65" i="1" s="1"/>
  <c r="AX62" i="1"/>
  <c r="AL62" i="1"/>
  <c r="AC62" i="1"/>
  <c r="Z62" i="1"/>
  <c r="V62" i="1"/>
  <c r="AX64" i="1" s="1"/>
  <c r="U62" i="1"/>
  <c r="T62" i="1"/>
  <c r="AR64" i="1" s="1"/>
  <c r="S62" i="1"/>
  <c r="AO64" i="1" s="1"/>
  <c r="R62" i="1"/>
  <c r="Q62" i="1"/>
  <c r="P62" i="1"/>
  <c r="AF64" i="1" s="1"/>
  <c r="O62" i="1"/>
  <c r="AC64" i="1" s="1"/>
  <c r="N62" i="1"/>
  <c r="Z64" i="1" s="1"/>
  <c r="AX61" i="1"/>
  <c r="AO61" i="1"/>
  <c r="AL61" i="1"/>
  <c r="Z61" i="1"/>
  <c r="V61" i="1"/>
  <c r="AX63" i="1" s="1"/>
  <c r="U61" i="1"/>
  <c r="AU63" i="1" s="1"/>
  <c r="T61" i="1"/>
  <c r="AR63" i="1" s="1"/>
  <c r="S61" i="1"/>
  <c r="AO63" i="1" s="1"/>
  <c r="R61" i="1"/>
  <c r="AL63" i="1" s="1"/>
  <c r="Q61" i="1"/>
  <c r="AI63" i="1" s="1"/>
  <c r="P61" i="1"/>
  <c r="AF63" i="1" s="1"/>
  <c r="O61" i="1"/>
  <c r="AC63" i="1" s="1"/>
  <c r="N61" i="1"/>
  <c r="Z63" i="1" s="1"/>
  <c r="AC60" i="1"/>
  <c r="V60" i="1"/>
  <c r="U60" i="1"/>
  <c r="AU62" i="1" s="1"/>
  <c r="T60" i="1"/>
  <c r="AR62" i="1" s="1"/>
  <c r="S60" i="1"/>
  <c r="AO62" i="1" s="1"/>
  <c r="R60" i="1"/>
  <c r="Q60" i="1"/>
  <c r="AI62" i="1" s="1"/>
  <c r="P60" i="1"/>
  <c r="AF62" i="1" s="1"/>
  <c r="O60" i="1"/>
  <c r="N60" i="1"/>
  <c r="AO59" i="1"/>
  <c r="AL59" i="1"/>
  <c r="AC59" i="1"/>
  <c r="V59" i="1"/>
  <c r="U59" i="1"/>
  <c r="AU61" i="1" s="1"/>
  <c r="T59" i="1"/>
  <c r="AR61" i="1" s="1"/>
  <c r="S59" i="1"/>
  <c r="R59" i="1"/>
  <c r="Q59" i="1"/>
  <c r="AI61" i="1" s="1"/>
  <c r="P59" i="1"/>
  <c r="AF61" i="1" s="1"/>
  <c r="O59" i="1"/>
  <c r="AC61" i="1" s="1"/>
  <c r="N59" i="1"/>
  <c r="AR58" i="1"/>
  <c r="AO58" i="1"/>
  <c r="AC58" i="1"/>
  <c r="V58" i="1"/>
  <c r="AX60" i="1" s="1"/>
  <c r="U58" i="1"/>
  <c r="AU60" i="1" s="1"/>
  <c r="T58" i="1"/>
  <c r="AR60" i="1" s="1"/>
  <c r="S58" i="1"/>
  <c r="AO60" i="1" s="1"/>
  <c r="R58" i="1"/>
  <c r="AL60" i="1" s="1"/>
  <c r="Q58" i="1"/>
  <c r="AI60" i="1" s="1"/>
  <c r="P58" i="1"/>
  <c r="AF60" i="1" s="1"/>
  <c r="O58" i="1"/>
  <c r="N58" i="1"/>
  <c r="Z60" i="1" s="1"/>
  <c r="AR57" i="1"/>
  <c r="AO57" i="1"/>
  <c r="AF57" i="1"/>
  <c r="AC57" i="1"/>
  <c r="V57" i="1"/>
  <c r="AX59" i="1" s="1"/>
  <c r="U57" i="1"/>
  <c r="AU59" i="1" s="1"/>
  <c r="T57" i="1"/>
  <c r="AR59" i="1" s="1"/>
  <c r="S57" i="1"/>
  <c r="R57" i="1"/>
  <c r="Q57" i="1"/>
  <c r="AI59" i="1" s="1"/>
  <c r="P57" i="1"/>
  <c r="AF59" i="1" s="1"/>
  <c r="O57" i="1"/>
  <c r="N57" i="1"/>
  <c r="Z59" i="1" s="1"/>
  <c r="AU56" i="1"/>
  <c r="AO56" i="1"/>
  <c r="AI56" i="1"/>
  <c r="AC56" i="1"/>
  <c r="V56" i="1"/>
  <c r="AX58" i="1" s="1"/>
  <c r="U56" i="1"/>
  <c r="AU58" i="1" s="1"/>
  <c r="T56" i="1"/>
  <c r="S56" i="1"/>
  <c r="R56" i="1"/>
  <c r="AL58" i="1" s="1"/>
  <c r="Q56" i="1"/>
  <c r="AI58" i="1" s="1"/>
  <c r="P56" i="1"/>
  <c r="AF58" i="1" s="1"/>
  <c r="O56" i="1"/>
  <c r="N56" i="1"/>
  <c r="Z58" i="1" s="1"/>
  <c r="AO55" i="1"/>
  <c r="AF55" i="1"/>
  <c r="V55" i="1"/>
  <c r="AX57" i="1" s="1"/>
  <c r="U55" i="1"/>
  <c r="AU57" i="1" s="1"/>
  <c r="T55" i="1"/>
  <c r="S55" i="1"/>
  <c r="R55" i="1"/>
  <c r="AL57" i="1" s="1"/>
  <c r="Q55" i="1"/>
  <c r="AI57" i="1" s="1"/>
  <c r="P55" i="1"/>
  <c r="O55" i="1"/>
  <c r="N55" i="1"/>
  <c r="Z57" i="1" s="1"/>
  <c r="AR54" i="1"/>
  <c r="AO54" i="1"/>
  <c r="AF54" i="1"/>
  <c r="V54" i="1"/>
  <c r="AX56" i="1" s="1"/>
  <c r="U54" i="1"/>
  <c r="T54" i="1"/>
  <c r="AR56" i="1" s="1"/>
  <c r="S54" i="1"/>
  <c r="R54" i="1"/>
  <c r="AL56" i="1" s="1"/>
  <c r="Q54" i="1"/>
  <c r="P54" i="1"/>
  <c r="AF56" i="1" s="1"/>
  <c r="O54" i="1"/>
  <c r="N54" i="1"/>
  <c r="Z56" i="1" s="1"/>
  <c r="AR53" i="1"/>
  <c r="AF53" i="1"/>
  <c r="AC53" i="1"/>
  <c r="V53" i="1"/>
  <c r="AX55" i="1" s="1"/>
  <c r="U53" i="1"/>
  <c r="AU55" i="1" s="1"/>
  <c r="T53" i="1"/>
  <c r="AR55" i="1" s="1"/>
  <c r="S53" i="1"/>
  <c r="R53" i="1"/>
  <c r="AL55" i="1" s="1"/>
  <c r="Q53" i="1"/>
  <c r="AI55" i="1" s="1"/>
  <c r="P53" i="1"/>
  <c r="O53" i="1"/>
  <c r="AC55" i="1" s="1"/>
  <c r="N53" i="1"/>
  <c r="Z55" i="1" s="1"/>
  <c r="AX52" i="1"/>
  <c r="AL52" i="1"/>
  <c r="Z52" i="1"/>
  <c r="V52" i="1"/>
  <c r="AX54" i="1" s="1"/>
  <c r="U52" i="1"/>
  <c r="AU54" i="1" s="1"/>
  <c r="T52" i="1"/>
  <c r="S52" i="1"/>
  <c r="R52" i="1"/>
  <c r="AL54" i="1" s="1"/>
  <c r="Q52" i="1"/>
  <c r="AI54" i="1" s="1"/>
  <c r="P52" i="1"/>
  <c r="O52" i="1"/>
  <c r="AC54" i="1" s="1"/>
  <c r="N52" i="1"/>
  <c r="Z54" i="1" s="1"/>
  <c r="AX51" i="1"/>
  <c r="AU51" i="1"/>
  <c r="AR51" i="1"/>
  <c r="AL51" i="1"/>
  <c r="AI51" i="1"/>
  <c r="Z51" i="1"/>
  <c r="V51" i="1"/>
  <c r="AX53" i="1" s="1"/>
  <c r="U51" i="1"/>
  <c r="AU53" i="1" s="1"/>
  <c r="T51" i="1"/>
  <c r="S51" i="1"/>
  <c r="AO53" i="1" s="1"/>
  <c r="R51" i="1"/>
  <c r="AL53" i="1" s="1"/>
  <c r="Q51" i="1"/>
  <c r="AI53" i="1" s="1"/>
  <c r="P51" i="1"/>
  <c r="O51" i="1"/>
  <c r="N51" i="1"/>
  <c r="Z53" i="1" s="1"/>
  <c r="AX50" i="1"/>
  <c r="AL50" i="1"/>
  <c r="Z50" i="1"/>
  <c r="V50" i="1"/>
  <c r="U50" i="1"/>
  <c r="AU52" i="1" s="1"/>
  <c r="T50" i="1"/>
  <c r="AR52" i="1" s="1"/>
  <c r="S50" i="1"/>
  <c r="AO52" i="1" s="1"/>
  <c r="R50" i="1"/>
  <c r="Q50" i="1"/>
  <c r="AI52" i="1" s="1"/>
  <c r="P50" i="1"/>
  <c r="AF52" i="1" s="1"/>
  <c r="O50" i="1"/>
  <c r="AC52" i="1" s="1"/>
  <c r="N50" i="1"/>
  <c r="AX49" i="1"/>
  <c r="AR49" i="1"/>
  <c r="AL49" i="1"/>
  <c r="Z49" i="1"/>
  <c r="V49" i="1"/>
  <c r="U49" i="1"/>
  <c r="T49" i="1"/>
  <c r="S49" i="1"/>
  <c r="AO51" i="1" s="1"/>
  <c r="R49" i="1"/>
  <c r="Q49" i="1"/>
  <c r="P49" i="1"/>
  <c r="AF51" i="1" s="1"/>
  <c r="O49" i="1"/>
  <c r="AC51" i="1" s="1"/>
  <c r="N49" i="1"/>
  <c r="AX48" i="1"/>
  <c r="AU48" i="1"/>
  <c r="AL48" i="1"/>
  <c r="AF48" i="1"/>
  <c r="Z48" i="1"/>
  <c r="V48" i="1"/>
  <c r="U48" i="1"/>
  <c r="AU50" i="1" s="1"/>
  <c r="T48" i="1"/>
  <c r="AR50" i="1" s="1"/>
  <c r="S48" i="1"/>
  <c r="AO50" i="1" s="1"/>
  <c r="R48" i="1"/>
  <c r="Q48" i="1"/>
  <c r="AI50" i="1" s="1"/>
  <c r="P48" i="1"/>
  <c r="AF50" i="1" s="1"/>
  <c r="O48" i="1"/>
  <c r="AC50" i="1" s="1"/>
  <c r="N48" i="1"/>
  <c r="AX47" i="1"/>
  <c r="AR47" i="1"/>
  <c r="AL47" i="1"/>
  <c r="Z47" i="1"/>
  <c r="V47" i="1"/>
  <c r="U47" i="1"/>
  <c r="AU49" i="1" s="1"/>
  <c r="T47" i="1"/>
  <c r="S47" i="1"/>
  <c r="AO49" i="1" s="1"/>
  <c r="R47" i="1"/>
  <c r="Q47" i="1"/>
  <c r="AI49" i="1" s="1"/>
  <c r="P47" i="1"/>
  <c r="AF49" i="1" s="1"/>
  <c r="O47" i="1"/>
  <c r="AC49" i="1" s="1"/>
  <c r="N47" i="1"/>
  <c r="AX46" i="1"/>
  <c r="AR46" i="1"/>
  <c r="AL46" i="1"/>
  <c r="AF46" i="1"/>
  <c r="Z46" i="1"/>
  <c r="V46" i="1"/>
  <c r="U46" i="1"/>
  <c r="T46" i="1"/>
  <c r="AR48" i="1" s="1"/>
  <c r="S46" i="1"/>
  <c r="AO48" i="1" s="1"/>
  <c r="R46" i="1"/>
  <c r="Q46" i="1"/>
  <c r="AI48" i="1" s="1"/>
  <c r="P46" i="1"/>
  <c r="O46" i="1"/>
  <c r="AC48" i="1" s="1"/>
  <c r="N46" i="1"/>
  <c r="AX45" i="1"/>
  <c r="AU45" i="1"/>
  <c r="AR45" i="1"/>
  <c r="AL45" i="1"/>
  <c r="AI45" i="1"/>
  <c r="Z45" i="1"/>
  <c r="V45" i="1"/>
  <c r="U45" i="1"/>
  <c r="AU47" i="1" s="1"/>
  <c r="T45" i="1"/>
  <c r="S45" i="1"/>
  <c r="AO47" i="1" s="1"/>
  <c r="R45" i="1"/>
  <c r="Q45" i="1"/>
  <c r="AI47" i="1" s="1"/>
  <c r="P45" i="1"/>
  <c r="AF47" i="1" s="1"/>
  <c r="O45" i="1"/>
  <c r="AC47" i="1" s="1"/>
  <c r="N45" i="1"/>
  <c r="AX44" i="1"/>
  <c r="AL44" i="1"/>
  <c r="Z44" i="1"/>
  <c r="V44" i="1"/>
  <c r="U44" i="1"/>
  <c r="AU46" i="1" s="1"/>
  <c r="T44" i="1"/>
  <c r="S44" i="1"/>
  <c r="AO46" i="1" s="1"/>
  <c r="R44" i="1"/>
  <c r="Q44" i="1"/>
  <c r="AI46" i="1" s="1"/>
  <c r="P44" i="1"/>
  <c r="O44" i="1"/>
  <c r="AC46" i="1" s="1"/>
  <c r="N44" i="1"/>
  <c r="AX43" i="1"/>
  <c r="AU43" i="1"/>
  <c r="AR43" i="1"/>
  <c r="AL43" i="1"/>
  <c r="AI43" i="1"/>
  <c r="Z43" i="1"/>
  <c r="V43" i="1"/>
  <c r="U43" i="1"/>
  <c r="T43" i="1"/>
  <c r="S43" i="1"/>
  <c r="AO45" i="1" s="1"/>
  <c r="R43" i="1"/>
  <c r="Q43" i="1"/>
  <c r="P43" i="1"/>
  <c r="AF45" i="1" s="1"/>
  <c r="O43" i="1"/>
  <c r="AC45" i="1" s="1"/>
  <c r="N43" i="1"/>
  <c r="AX42" i="1"/>
  <c r="AL42" i="1"/>
  <c r="Z42" i="1"/>
  <c r="V42" i="1"/>
  <c r="U42" i="1"/>
  <c r="AU44" i="1" s="1"/>
  <c r="T42" i="1"/>
  <c r="AR44" i="1" s="1"/>
  <c r="S42" i="1"/>
  <c r="AO44" i="1" s="1"/>
  <c r="R42" i="1"/>
  <c r="Q42" i="1"/>
  <c r="AI44" i="1" s="1"/>
  <c r="P42" i="1"/>
  <c r="AF44" i="1" s="1"/>
  <c r="O42" i="1"/>
  <c r="AC44" i="1" s="1"/>
  <c r="N42" i="1"/>
  <c r="AX41" i="1"/>
  <c r="AR41" i="1"/>
  <c r="AL41" i="1"/>
  <c r="Z41" i="1"/>
  <c r="V41" i="1"/>
  <c r="U41" i="1"/>
  <c r="T41" i="1"/>
  <c r="S41" i="1"/>
  <c r="AO43" i="1" s="1"/>
  <c r="R41" i="1"/>
  <c r="Q41" i="1"/>
  <c r="P41" i="1"/>
  <c r="AF43" i="1" s="1"/>
  <c r="O41" i="1"/>
  <c r="AC43" i="1" s="1"/>
  <c r="N41" i="1"/>
  <c r="AX40" i="1"/>
  <c r="AU40" i="1"/>
  <c r="AL40" i="1"/>
  <c r="AF40" i="1"/>
  <c r="Z40" i="1"/>
  <c r="V40" i="1"/>
  <c r="U40" i="1"/>
  <c r="AU42" i="1" s="1"/>
  <c r="T40" i="1"/>
  <c r="AR42" i="1" s="1"/>
  <c r="S40" i="1"/>
  <c r="AO42" i="1" s="1"/>
  <c r="R40" i="1"/>
  <c r="Q40" i="1"/>
  <c r="AI42" i="1" s="1"/>
  <c r="P40" i="1"/>
  <c r="AF42" i="1" s="1"/>
  <c r="O40" i="1"/>
  <c r="AC42" i="1" s="1"/>
  <c r="N40" i="1"/>
  <c r="AX39" i="1"/>
  <c r="AR39" i="1"/>
  <c r="AL39" i="1"/>
  <c r="Z39" i="1"/>
  <c r="V39" i="1"/>
  <c r="U39" i="1"/>
  <c r="AU41" i="1" s="1"/>
  <c r="T39" i="1"/>
  <c r="S39" i="1"/>
  <c r="AO41" i="1" s="1"/>
  <c r="R39" i="1"/>
  <c r="Q39" i="1"/>
  <c r="AI41" i="1" s="1"/>
  <c r="P39" i="1"/>
  <c r="AF41" i="1" s="1"/>
  <c r="O39" i="1"/>
  <c r="AC41" i="1" s="1"/>
  <c r="N39" i="1"/>
  <c r="AX38" i="1"/>
  <c r="AL38" i="1"/>
  <c r="Z38" i="1"/>
  <c r="V38" i="1"/>
  <c r="U38" i="1"/>
  <c r="T38" i="1"/>
  <c r="AR40" i="1" s="1"/>
  <c r="S38" i="1"/>
  <c r="AO40" i="1" s="1"/>
  <c r="R38" i="1"/>
  <c r="Q38" i="1"/>
  <c r="AI40" i="1" s="1"/>
  <c r="P38" i="1"/>
  <c r="O38" i="1"/>
  <c r="AC40" i="1" s="1"/>
  <c r="N38" i="1"/>
  <c r="AU37" i="1"/>
  <c r="AR37" i="1"/>
  <c r="AI37" i="1"/>
  <c r="Z37" i="1"/>
  <c r="V37" i="1"/>
  <c r="U37" i="1"/>
  <c r="AU39" i="1" s="1"/>
  <c r="T37" i="1"/>
  <c r="S37" i="1"/>
  <c r="AO39" i="1" s="1"/>
  <c r="R37" i="1"/>
  <c r="Q37" i="1"/>
  <c r="AI39" i="1" s="1"/>
  <c r="P37" i="1"/>
  <c r="AF39" i="1" s="1"/>
  <c r="O37" i="1"/>
  <c r="AC39" i="1" s="1"/>
  <c r="N37" i="1"/>
  <c r="AU36" i="1"/>
  <c r="V36" i="1"/>
  <c r="U36" i="1"/>
  <c r="AU38" i="1" s="1"/>
  <c r="T36" i="1"/>
  <c r="AR38" i="1" s="1"/>
  <c r="S36" i="1"/>
  <c r="AO38" i="1" s="1"/>
  <c r="R36" i="1"/>
  <c r="Q36" i="1"/>
  <c r="AI38" i="1" s="1"/>
  <c r="P36" i="1"/>
  <c r="AF38" i="1" s="1"/>
  <c r="O36" i="1"/>
  <c r="AC38" i="1" s="1"/>
  <c r="N36" i="1"/>
  <c r="AU35" i="1"/>
  <c r="AI35" i="1"/>
  <c r="Z35" i="1"/>
  <c r="V35" i="1"/>
  <c r="AX37" i="1" s="1"/>
  <c r="U35" i="1"/>
  <c r="T35" i="1"/>
  <c r="S35" i="1"/>
  <c r="AO37" i="1" s="1"/>
  <c r="R35" i="1"/>
  <c r="AL37" i="1" s="1"/>
  <c r="Q35" i="1"/>
  <c r="P35" i="1"/>
  <c r="AF37" i="1" s="1"/>
  <c r="O35" i="1"/>
  <c r="AC37" i="1" s="1"/>
  <c r="N35" i="1"/>
  <c r="AU34" i="1"/>
  <c r="AO34" i="1"/>
  <c r="AI34" i="1"/>
  <c r="Z34" i="1"/>
  <c r="V34" i="1"/>
  <c r="AX36" i="1" s="1"/>
  <c r="U34" i="1"/>
  <c r="T34" i="1"/>
  <c r="AR36" i="1" s="1"/>
  <c r="S34" i="1"/>
  <c r="AO36" i="1" s="1"/>
  <c r="R34" i="1"/>
  <c r="AL36" i="1" s="1"/>
  <c r="Q34" i="1"/>
  <c r="AI36" i="1" s="1"/>
  <c r="P34" i="1"/>
  <c r="AF36" i="1" s="1"/>
  <c r="O34" i="1"/>
  <c r="AC36" i="1" s="1"/>
  <c r="N34" i="1"/>
  <c r="Z36" i="1" s="1"/>
  <c r="AU33" i="1"/>
  <c r="AI33" i="1"/>
  <c r="Z33" i="1"/>
  <c r="V33" i="1"/>
  <c r="AX35" i="1" s="1"/>
  <c r="U33" i="1"/>
  <c r="T33" i="1"/>
  <c r="AR35" i="1" s="1"/>
  <c r="S33" i="1"/>
  <c r="AO35" i="1" s="1"/>
  <c r="R33" i="1"/>
  <c r="AL35" i="1" s="1"/>
  <c r="Q33" i="1"/>
  <c r="P33" i="1"/>
  <c r="AF35" i="1" s="1"/>
  <c r="O33" i="1"/>
  <c r="AC35" i="1" s="1"/>
  <c r="N33" i="1"/>
  <c r="AU32" i="1"/>
  <c r="AI32" i="1"/>
  <c r="V32" i="1"/>
  <c r="AX34" i="1" s="1"/>
  <c r="U32" i="1"/>
  <c r="T32" i="1"/>
  <c r="AR34" i="1" s="1"/>
  <c r="S32" i="1"/>
  <c r="R32" i="1"/>
  <c r="AL34" i="1" s="1"/>
  <c r="Q32" i="1"/>
  <c r="P32" i="1"/>
  <c r="AF34" i="1" s="1"/>
  <c r="O32" i="1"/>
  <c r="AC34" i="1" s="1"/>
  <c r="N32" i="1"/>
  <c r="AX31" i="1"/>
  <c r="AU31" i="1"/>
  <c r="AI31" i="1"/>
  <c r="Z31" i="1"/>
  <c r="V31" i="1"/>
  <c r="AX33" i="1" s="1"/>
  <c r="U31" i="1"/>
  <c r="T31" i="1"/>
  <c r="AR33" i="1" s="1"/>
  <c r="S31" i="1"/>
  <c r="AO33" i="1" s="1"/>
  <c r="R31" i="1"/>
  <c r="AL33" i="1" s="1"/>
  <c r="Q31" i="1"/>
  <c r="P31" i="1"/>
  <c r="AF33" i="1" s="1"/>
  <c r="O31" i="1"/>
  <c r="AC33" i="1" s="1"/>
  <c r="N31" i="1"/>
  <c r="AU30" i="1"/>
  <c r="AO30" i="1"/>
  <c r="AI30" i="1"/>
  <c r="Z30" i="1"/>
  <c r="V30" i="1"/>
  <c r="AX32" i="1" s="1"/>
  <c r="U30" i="1"/>
  <c r="T30" i="1"/>
  <c r="AR32" i="1" s="1"/>
  <c r="S30" i="1"/>
  <c r="AO32" i="1" s="1"/>
  <c r="R30" i="1"/>
  <c r="AL32" i="1" s="1"/>
  <c r="Q30" i="1"/>
  <c r="P30" i="1"/>
  <c r="AF32" i="1" s="1"/>
  <c r="O30" i="1"/>
  <c r="AC32" i="1" s="1"/>
  <c r="N30" i="1"/>
  <c r="Z32" i="1" s="1"/>
  <c r="AU29" i="1"/>
  <c r="AI29" i="1"/>
  <c r="Z29" i="1"/>
  <c r="V29" i="1"/>
  <c r="U29" i="1"/>
  <c r="T29" i="1"/>
  <c r="AR31" i="1" s="1"/>
  <c r="S29" i="1"/>
  <c r="AO31" i="1" s="1"/>
  <c r="R29" i="1"/>
  <c r="AL31" i="1" s="1"/>
  <c r="Q29" i="1"/>
  <c r="P29" i="1"/>
  <c r="AF31" i="1" s="1"/>
  <c r="O29" i="1"/>
  <c r="AC31" i="1" s="1"/>
  <c r="N29" i="1"/>
  <c r="AU28" i="1"/>
  <c r="AI28" i="1"/>
  <c r="V28" i="1"/>
  <c r="AX30" i="1" s="1"/>
  <c r="U28" i="1"/>
  <c r="T28" i="1"/>
  <c r="AR30" i="1" s="1"/>
  <c r="S28" i="1"/>
  <c r="R28" i="1"/>
  <c r="AL30" i="1" s="1"/>
  <c r="Q28" i="1"/>
  <c r="P28" i="1"/>
  <c r="AF30" i="1" s="1"/>
  <c r="O28" i="1"/>
  <c r="AC30" i="1" s="1"/>
  <c r="N28" i="1"/>
  <c r="AX27" i="1"/>
  <c r="AU27" i="1"/>
  <c r="AI27" i="1"/>
  <c r="Z27" i="1"/>
  <c r="V27" i="1"/>
  <c r="AX29" i="1" s="1"/>
  <c r="U27" i="1"/>
  <c r="T27" i="1"/>
  <c r="AR29" i="1" s="1"/>
  <c r="S27" i="1"/>
  <c r="AO29" i="1" s="1"/>
  <c r="R27" i="1"/>
  <c r="AL29" i="1" s="1"/>
  <c r="Q27" i="1"/>
  <c r="P27" i="1"/>
  <c r="AF29" i="1" s="1"/>
  <c r="O27" i="1"/>
  <c r="AC29" i="1" s="1"/>
  <c r="N27" i="1"/>
  <c r="AU26" i="1"/>
  <c r="AO26" i="1"/>
  <c r="AI26" i="1"/>
  <c r="Z26" i="1"/>
  <c r="V26" i="1"/>
  <c r="AX28" i="1" s="1"/>
  <c r="U26" i="1"/>
  <c r="T26" i="1"/>
  <c r="AR28" i="1" s="1"/>
  <c r="S26" i="1"/>
  <c r="AO28" i="1" s="1"/>
  <c r="R26" i="1"/>
  <c r="AL28" i="1" s="1"/>
  <c r="Q26" i="1"/>
  <c r="P26" i="1"/>
  <c r="AF28" i="1" s="1"/>
  <c r="O26" i="1"/>
  <c r="AC28" i="1" s="1"/>
  <c r="N26" i="1"/>
  <c r="Z28" i="1" s="1"/>
  <c r="AU25" i="1"/>
  <c r="AI25" i="1"/>
  <c r="Z25" i="1"/>
  <c r="V25" i="1"/>
  <c r="U25" i="1"/>
  <c r="T25" i="1"/>
  <c r="AR27" i="1" s="1"/>
  <c r="S25" i="1"/>
  <c r="AO27" i="1" s="1"/>
  <c r="R25" i="1"/>
  <c r="AL27" i="1" s="1"/>
  <c r="Q25" i="1"/>
  <c r="P25" i="1"/>
  <c r="AF27" i="1" s="1"/>
  <c r="O25" i="1"/>
  <c r="AC27" i="1" s="1"/>
  <c r="N25" i="1"/>
  <c r="AU24" i="1"/>
  <c r="AL24" i="1"/>
  <c r="AI24" i="1"/>
  <c r="V24" i="1"/>
  <c r="AX26" i="1" s="1"/>
  <c r="U24" i="1"/>
  <c r="T24" i="1"/>
  <c r="AR26" i="1" s="1"/>
  <c r="S24" i="1"/>
  <c r="R24" i="1"/>
  <c r="AL26" i="1" s="1"/>
  <c r="Q24" i="1"/>
  <c r="P24" i="1"/>
  <c r="AF26" i="1" s="1"/>
  <c r="O24" i="1"/>
  <c r="AC26" i="1" s="1"/>
  <c r="N24" i="1"/>
  <c r="AX23" i="1"/>
  <c r="AU23" i="1"/>
  <c r="AI23" i="1"/>
  <c r="Z23" i="1"/>
  <c r="V23" i="1"/>
  <c r="AX25" i="1" s="1"/>
  <c r="U23" i="1"/>
  <c r="T23" i="1"/>
  <c r="AR25" i="1" s="1"/>
  <c r="S23" i="1"/>
  <c r="AO25" i="1" s="1"/>
  <c r="R23" i="1"/>
  <c r="AL25" i="1" s="1"/>
  <c r="Q23" i="1"/>
  <c r="P23" i="1"/>
  <c r="AF25" i="1" s="1"/>
  <c r="O23" i="1"/>
  <c r="AC25" i="1" s="1"/>
  <c r="N23" i="1"/>
  <c r="AU22" i="1"/>
  <c r="AO22" i="1"/>
  <c r="AI22" i="1"/>
  <c r="Z22" i="1"/>
  <c r="V22" i="1"/>
  <c r="AX24" i="1" s="1"/>
  <c r="U22" i="1"/>
  <c r="T22" i="1"/>
  <c r="AR24" i="1" s="1"/>
  <c r="S22" i="1"/>
  <c r="AO24" i="1" s="1"/>
  <c r="R22" i="1"/>
  <c r="Q22" i="1"/>
  <c r="P22" i="1"/>
  <c r="AF24" i="1" s="1"/>
  <c r="O22" i="1"/>
  <c r="AC24" i="1" s="1"/>
  <c r="N22" i="1"/>
  <c r="Z24" i="1" s="1"/>
  <c r="AU21" i="1"/>
  <c r="AI21" i="1"/>
  <c r="Z21" i="1"/>
  <c r="V21" i="1"/>
  <c r="U21" i="1"/>
  <c r="T21" i="1"/>
  <c r="AR23" i="1" s="1"/>
  <c r="S21" i="1"/>
  <c r="AO23" i="1" s="1"/>
  <c r="R21" i="1"/>
  <c r="AL23" i="1" s="1"/>
  <c r="Q21" i="1"/>
  <c r="P21" i="1"/>
  <c r="AF23" i="1" s="1"/>
  <c r="O21" i="1"/>
  <c r="AC23" i="1" s="1"/>
  <c r="N21" i="1"/>
  <c r="AU20" i="1"/>
  <c r="AL20" i="1"/>
  <c r="AI20" i="1"/>
  <c r="AC20" i="1"/>
  <c r="V20" i="1"/>
  <c r="AX22" i="1" s="1"/>
  <c r="U20" i="1"/>
  <c r="T20" i="1"/>
  <c r="AR22" i="1" s="1"/>
  <c r="S20" i="1"/>
  <c r="R20" i="1"/>
  <c r="AL22" i="1" s="1"/>
  <c r="Q20" i="1"/>
  <c r="P20" i="1"/>
  <c r="AF22" i="1" s="1"/>
  <c r="O20" i="1"/>
  <c r="AC22" i="1" s="1"/>
  <c r="N20" i="1"/>
  <c r="AX19" i="1"/>
  <c r="AU19" i="1"/>
  <c r="AO19" i="1"/>
  <c r="AI19" i="1"/>
  <c r="Z19" i="1"/>
  <c r="V19" i="1"/>
  <c r="AX21" i="1" s="1"/>
  <c r="U19" i="1"/>
  <c r="T19" i="1"/>
  <c r="AR21" i="1" s="1"/>
  <c r="S19" i="1"/>
  <c r="AO21" i="1" s="1"/>
  <c r="R19" i="1"/>
  <c r="AL21" i="1" s="1"/>
  <c r="Q19" i="1"/>
  <c r="P19" i="1"/>
  <c r="AF21" i="1" s="1"/>
  <c r="O19" i="1"/>
  <c r="AC21" i="1" s="1"/>
  <c r="N19" i="1"/>
  <c r="AU18" i="1"/>
  <c r="AO18" i="1"/>
  <c r="AI18" i="1"/>
  <c r="Z18" i="1"/>
  <c r="V18" i="1"/>
  <c r="AX20" i="1" s="1"/>
  <c r="U18" i="1"/>
  <c r="T18" i="1"/>
  <c r="AR20" i="1" s="1"/>
  <c r="S18" i="1"/>
  <c r="AO20" i="1" s="1"/>
  <c r="R18" i="1"/>
  <c r="Q18" i="1"/>
  <c r="P18" i="1"/>
  <c r="AF20" i="1" s="1"/>
  <c r="O18" i="1"/>
  <c r="N18" i="1"/>
  <c r="Z20" i="1" s="1"/>
  <c r="AU17" i="1"/>
  <c r="AI17" i="1"/>
  <c r="V17" i="1"/>
  <c r="U17" i="1"/>
  <c r="T17" i="1"/>
  <c r="AR19" i="1" s="1"/>
  <c r="S17" i="1"/>
  <c r="R17" i="1"/>
  <c r="AL19" i="1" s="1"/>
  <c r="Q17" i="1"/>
  <c r="P17" i="1"/>
  <c r="AF19" i="1" s="1"/>
  <c r="O17" i="1"/>
  <c r="AC19" i="1" s="1"/>
  <c r="N17" i="1"/>
  <c r="AU16" i="1"/>
  <c r="AI16" i="1"/>
  <c r="V16" i="1"/>
  <c r="AX18" i="1" s="1"/>
  <c r="U16" i="1"/>
  <c r="T16" i="1"/>
  <c r="AR18" i="1" s="1"/>
  <c r="S16" i="1"/>
  <c r="R16" i="1"/>
  <c r="AL18" i="1" s="1"/>
  <c r="Q16" i="1"/>
  <c r="P16" i="1"/>
  <c r="AF18" i="1" s="1"/>
  <c r="O16" i="1"/>
  <c r="AC18" i="1" s="1"/>
  <c r="N16" i="1"/>
  <c r="AX15" i="1"/>
  <c r="AU15" i="1"/>
  <c r="AI15" i="1"/>
  <c r="Z15" i="1"/>
  <c r="V15" i="1"/>
  <c r="AX17" i="1" s="1"/>
  <c r="U15" i="1"/>
  <c r="T15" i="1"/>
  <c r="AR17" i="1" s="1"/>
  <c r="S15" i="1"/>
  <c r="AO17" i="1" s="1"/>
  <c r="R15" i="1"/>
  <c r="AL17" i="1" s="1"/>
  <c r="Q15" i="1"/>
  <c r="P15" i="1"/>
  <c r="AF17" i="1" s="1"/>
  <c r="O15" i="1"/>
  <c r="AC17" i="1" s="1"/>
  <c r="N15" i="1"/>
  <c r="Z17" i="1" s="1"/>
  <c r="AU14" i="1"/>
  <c r="AO14" i="1"/>
  <c r="AI14" i="1"/>
  <c r="Z14" i="1"/>
  <c r="V14" i="1"/>
  <c r="AX16" i="1" s="1"/>
  <c r="U14" i="1"/>
  <c r="T14" i="1"/>
  <c r="AR16" i="1" s="1"/>
  <c r="S14" i="1"/>
  <c r="AO16" i="1" s="1"/>
  <c r="R14" i="1"/>
  <c r="AL16" i="1" s="1"/>
  <c r="Q14" i="1"/>
  <c r="P14" i="1"/>
  <c r="AF16" i="1" s="1"/>
  <c r="O14" i="1"/>
  <c r="AC16" i="1" s="1"/>
  <c r="N14" i="1"/>
  <c r="Z16" i="1" s="1"/>
  <c r="AU13" i="1"/>
  <c r="AL13" i="1"/>
  <c r="AI13" i="1"/>
  <c r="Z13" i="1"/>
  <c r="V13" i="1"/>
  <c r="U13" i="1"/>
  <c r="T13" i="1"/>
  <c r="AR15" i="1" s="1"/>
  <c r="S13" i="1"/>
  <c r="AO15" i="1" s="1"/>
  <c r="R13" i="1"/>
  <c r="AL15" i="1" s="1"/>
  <c r="Q13" i="1"/>
  <c r="P13" i="1"/>
  <c r="AF15" i="1" s="1"/>
  <c r="O13" i="1"/>
  <c r="AC15" i="1" s="1"/>
  <c r="N13" i="1"/>
  <c r="AU12" i="1"/>
  <c r="AI12" i="1"/>
  <c r="V12" i="1"/>
  <c r="AX14" i="1" s="1"/>
  <c r="U12" i="1"/>
  <c r="T12" i="1"/>
  <c r="AR14" i="1" s="1"/>
  <c r="S12" i="1"/>
  <c r="R12" i="1"/>
  <c r="AL14" i="1" s="1"/>
  <c r="Q12" i="1"/>
  <c r="P12" i="1"/>
  <c r="AF14" i="1" s="1"/>
  <c r="O12" i="1"/>
  <c r="AC14" i="1" s="1"/>
  <c r="N12" i="1"/>
  <c r="AX11" i="1"/>
  <c r="AU11" i="1"/>
  <c r="AI11" i="1"/>
  <c r="Z11" i="1"/>
  <c r="V11" i="1"/>
  <c r="AX13" i="1" s="1"/>
  <c r="U11" i="1"/>
  <c r="T11" i="1"/>
  <c r="AR13" i="1" s="1"/>
  <c r="S11" i="1"/>
  <c r="AO13" i="1" s="1"/>
  <c r="R11" i="1"/>
  <c r="Q11" i="1"/>
  <c r="P11" i="1"/>
  <c r="AF13" i="1" s="1"/>
  <c r="O11" i="1"/>
  <c r="AC13" i="1" s="1"/>
  <c r="N11" i="1"/>
  <c r="AU10" i="1"/>
  <c r="AO10" i="1"/>
  <c r="AI10" i="1"/>
  <c r="Z10" i="1"/>
  <c r="V10" i="1"/>
  <c r="AX12" i="1" s="1"/>
  <c r="U10" i="1"/>
  <c r="T10" i="1"/>
  <c r="AR12" i="1" s="1"/>
  <c r="S10" i="1"/>
  <c r="AO12" i="1" s="1"/>
  <c r="R10" i="1"/>
  <c r="AL12" i="1" s="1"/>
  <c r="Q10" i="1"/>
  <c r="P10" i="1"/>
  <c r="AF12" i="1" s="1"/>
  <c r="O10" i="1"/>
  <c r="AC12" i="1" s="1"/>
  <c r="N10" i="1"/>
  <c r="Z12" i="1" s="1"/>
  <c r="AU9" i="1"/>
  <c r="AI9" i="1"/>
  <c r="Z9" i="1"/>
  <c r="V9" i="1"/>
  <c r="U9" i="1"/>
  <c r="T9" i="1"/>
  <c r="AR11" i="1" s="1"/>
  <c r="S9" i="1"/>
  <c r="AO11" i="1" s="1"/>
  <c r="R9" i="1"/>
  <c r="AL11" i="1" s="1"/>
  <c r="Q9" i="1"/>
  <c r="P9" i="1"/>
  <c r="AF11" i="1" s="1"/>
  <c r="O9" i="1"/>
  <c r="AC11" i="1" s="1"/>
  <c r="N9" i="1"/>
  <c r="AU8" i="1"/>
  <c r="AL8" i="1"/>
  <c r="AI8" i="1"/>
  <c r="V8" i="1"/>
  <c r="AX10" i="1" s="1"/>
  <c r="U8" i="1"/>
  <c r="T8" i="1"/>
  <c r="AR10" i="1" s="1"/>
  <c r="S8" i="1"/>
  <c r="R8" i="1"/>
  <c r="AL10" i="1" s="1"/>
  <c r="Q8" i="1"/>
  <c r="P8" i="1"/>
  <c r="AF10" i="1" s="1"/>
  <c r="O8" i="1"/>
  <c r="AC10" i="1" s="1"/>
  <c r="N8" i="1"/>
  <c r="AX7" i="1"/>
  <c r="AO7" i="1"/>
  <c r="AL7" i="1"/>
  <c r="AI7" i="1"/>
  <c r="AC7" i="1"/>
  <c r="Z7" i="1"/>
  <c r="V7" i="1"/>
  <c r="AX9" i="1" s="1"/>
  <c r="U7" i="1"/>
  <c r="T7" i="1"/>
  <c r="AR9" i="1" s="1"/>
  <c r="S7" i="1"/>
  <c r="AO9" i="1" s="1"/>
  <c r="R7" i="1"/>
  <c r="AL9" i="1" s="1"/>
  <c r="Q7" i="1"/>
  <c r="P7" i="1"/>
  <c r="AF9" i="1" s="1"/>
  <c r="O7" i="1"/>
  <c r="AC9" i="1" s="1"/>
  <c r="N7" i="1"/>
  <c r="AO6" i="1"/>
  <c r="Z6" i="1"/>
  <c r="V6" i="1"/>
  <c r="AX8" i="1" s="1"/>
  <c r="U6" i="1"/>
  <c r="T6" i="1"/>
  <c r="AR8" i="1" s="1"/>
  <c r="S6" i="1"/>
  <c r="AO8" i="1" s="1"/>
  <c r="R6" i="1"/>
  <c r="Q6" i="1"/>
  <c r="P6" i="1"/>
  <c r="AF8" i="1" s="1"/>
  <c r="O6" i="1"/>
  <c r="AC8" i="1" s="1"/>
  <c r="N6" i="1"/>
  <c r="Z8" i="1" s="1"/>
  <c r="V5" i="1"/>
  <c r="U5" i="1"/>
  <c r="AU7" i="1" s="1"/>
  <c r="T5" i="1"/>
  <c r="AR7" i="1" s="1"/>
  <c r="S5" i="1"/>
  <c r="R5" i="1"/>
  <c r="Q5" i="1"/>
  <c r="P5" i="1"/>
  <c r="AF7" i="1" s="1"/>
  <c r="O5" i="1"/>
  <c r="N5" i="1"/>
  <c r="V4" i="1"/>
  <c r="U4" i="1"/>
  <c r="T4" i="1"/>
  <c r="S4" i="1"/>
  <c r="R4" i="1"/>
  <c r="Q4" i="1"/>
  <c r="P4" i="1"/>
  <c r="O4" i="1"/>
  <c r="N4" i="1"/>
  <c r="Z13" i="6" l="1"/>
  <c r="AB13" i="6" s="1"/>
  <c r="AE13" i="6" s="1"/>
  <c r="T12" i="6"/>
  <c r="Z16" i="6"/>
  <c r="AB16" i="6" s="1"/>
  <c r="AE16" i="6" s="1"/>
  <c r="T15" i="6"/>
  <c r="T24" i="6"/>
  <c r="Z25" i="6"/>
  <c r="AB25" i="6" s="1"/>
  <c r="AE25" i="6" s="1"/>
  <c r="Z22" i="6"/>
  <c r="AB22" i="6" s="1"/>
  <c r="AE22" i="6" s="1"/>
  <c r="T21" i="6"/>
  <c r="T18" i="6"/>
  <c r="Z19" i="6"/>
  <c r="AB19" i="6" s="1"/>
  <c r="AE19" i="6" s="1"/>
  <c r="F15" i="4"/>
  <c r="F27" i="4"/>
  <c r="F26" i="4"/>
  <c r="F14" i="4"/>
  <c r="F24" i="4"/>
  <c r="F9" i="4"/>
  <c r="F22" i="4"/>
  <c r="G6" i="4"/>
  <c r="F8" i="4" s="1"/>
  <c r="G10" i="4" s="1"/>
  <c r="AA21" i="1"/>
  <c r="AP33" i="1"/>
  <c r="AP21" i="1"/>
  <c r="AA28" i="1"/>
  <c r="AA9" i="1"/>
  <c r="AA16" i="1"/>
  <c r="AA24" i="1"/>
  <c r="AA36" i="1"/>
  <c r="Q65" i="1"/>
  <c r="Q69" i="1" s="1"/>
  <c r="Q66" i="1"/>
  <c r="Q68" i="1" s="1"/>
  <c r="U65" i="1"/>
  <c r="U66" i="1"/>
  <c r="U68" i="1" s="1"/>
  <c r="AP8" i="1"/>
  <c r="AP58" i="1"/>
  <c r="AO67" i="1"/>
  <c r="AO68" i="1"/>
  <c r="AP6" i="1" s="1"/>
  <c r="AA15" i="1"/>
  <c r="AP30" i="1"/>
  <c r="AP44" i="1"/>
  <c r="AP45" i="1"/>
  <c r="AP16" i="1"/>
  <c r="AP53" i="1"/>
  <c r="AA51" i="1"/>
  <c r="Z67" i="1"/>
  <c r="AA17" i="1" s="1"/>
  <c r="Z68" i="1"/>
  <c r="AA38" i="1" s="1"/>
  <c r="AA6" i="1"/>
  <c r="AU6" i="1"/>
  <c r="AP19" i="1"/>
  <c r="AA22" i="1"/>
  <c r="AA44" i="1"/>
  <c r="AA46" i="1"/>
  <c r="AA48" i="1"/>
  <c r="AA63" i="1"/>
  <c r="AA10" i="1"/>
  <c r="AP34" i="1"/>
  <c r="AA43" i="1"/>
  <c r="AA52" i="1"/>
  <c r="AA60" i="1"/>
  <c r="S65" i="1"/>
  <c r="AA14" i="1"/>
  <c r="AA19" i="1"/>
  <c r="AA23" i="1"/>
  <c r="AA27" i="1"/>
  <c r="AA30" i="1"/>
  <c r="AA31" i="1"/>
  <c r="AA34" i="1"/>
  <c r="P66" i="1"/>
  <c r="P68" i="1" s="1"/>
  <c r="P65" i="1"/>
  <c r="AF6" i="1"/>
  <c r="T66" i="1"/>
  <c r="T68" i="1" s="1"/>
  <c r="T65" i="1"/>
  <c r="T69" i="1" s="1"/>
  <c r="AR6" i="1"/>
  <c r="AI6" i="1"/>
  <c r="AA7" i="1"/>
  <c r="AP20" i="1"/>
  <c r="AA18" i="1"/>
  <c r="AA25" i="1"/>
  <c r="AP31" i="1"/>
  <c r="AA29" i="1"/>
  <c r="AA33" i="1"/>
  <c r="AP41" i="1"/>
  <c r="AA40" i="1"/>
  <c r="AP61" i="1"/>
  <c r="AA41" i="1"/>
  <c r="AA49" i="1"/>
  <c r="AP54" i="1"/>
  <c r="AP55" i="1"/>
  <c r="AA61" i="1"/>
  <c r="N66" i="1"/>
  <c r="N68" i="1" s="1"/>
  <c r="R66" i="1"/>
  <c r="R68" i="1" s="1"/>
  <c r="V65" i="1"/>
  <c r="AL6" i="1"/>
  <c r="AA39" i="1"/>
  <c r="AA47" i="1"/>
  <c r="AA56" i="1"/>
  <c r="AA58" i="1"/>
  <c r="AP56" i="1"/>
  <c r="N65" i="1"/>
  <c r="N69" i="1" s="1"/>
  <c r="V66" i="1"/>
  <c r="V68" i="1" s="1"/>
  <c r="O66" i="1"/>
  <c r="O68" i="1" s="1"/>
  <c r="O65" i="1"/>
  <c r="O69" i="1" s="1"/>
  <c r="AC6" i="1"/>
  <c r="AX6" i="1"/>
  <c r="AA45" i="1"/>
  <c r="R65" i="1"/>
  <c r="R69" i="1" s="1"/>
  <c r="S66" i="1"/>
  <c r="S68" i="1" s="1"/>
  <c r="AP59" i="1"/>
  <c r="AP64" i="1"/>
  <c r="AA62" i="1"/>
  <c r="AA65" i="1"/>
  <c r="AA59" i="1"/>
  <c r="AP57" i="1"/>
  <c r="G68" i="2"/>
  <c r="M68" i="2"/>
  <c r="M67" i="2"/>
  <c r="N28" i="2" s="1"/>
  <c r="M70" i="2"/>
  <c r="D68" i="2"/>
  <c r="D67" i="2"/>
  <c r="J68" i="2"/>
  <c r="J67" i="2"/>
  <c r="P68" i="2"/>
  <c r="V67" i="2"/>
  <c r="V68" i="2"/>
  <c r="AB68" i="2"/>
  <c r="AB67" i="2"/>
  <c r="S68" i="2"/>
  <c r="Y67" i="2"/>
  <c r="P67" i="2"/>
  <c r="G67" i="2"/>
  <c r="S67" i="2"/>
  <c r="Y68" i="2"/>
  <c r="F13" i="4" l="1"/>
  <c r="G16" i="4" s="1"/>
  <c r="G26" i="4"/>
  <c r="I26" i="4"/>
  <c r="J26" i="4" s="1"/>
  <c r="I14" i="4" s="1"/>
  <c r="J14" i="4" s="1"/>
  <c r="G27" i="4"/>
  <c r="I27" i="4"/>
  <c r="J27" i="4" s="1"/>
  <c r="I15" i="4" s="1"/>
  <c r="J15" i="4" s="1"/>
  <c r="K16" i="4" s="1"/>
  <c r="L16" i="4" s="1"/>
  <c r="I24" i="4"/>
  <c r="J24" i="4" s="1"/>
  <c r="I9" i="4" s="1"/>
  <c r="J9" i="4" s="1"/>
  <c r="K10" i="4" s="1"/>
  <c r="L10" i="4" s="1"/>
  <c r="F25" i="4" s="1"/>
  <c r="G24" i="4"/>
  <c r="I22" i="4"/>
  <c r="J22" i="4" s="1"/>
  <c r="I5" i="4" s="1"/>
  <c r="J5" i="4" s="1"/>
  <c r="K6" i="4" s="1"/>
  <c r="L6" i="4" s="1"/>
  <c r="F23" i="4" s="1"/>
  <c r="R75" i="1"/>
  <c r="R71" i="1"/>
  <c r="R74" i="1"/>
  <c r="R73" i="1"/>
  <c r="R72" i="1"/>
  <c r="R77" i="1"/>
  <c r="R76" i="1"/>
  <c r="N75" i="1"/>
  <c r="N71" i="1"/>
  <c r="N74" i="1"/>
  <c r="N77" i="1"/>
  <c r="N76" i="1"/>
  <c r="N73" i="1"/>
  <c r="N72" i="1"/>
  <c r="AU68" i="1"/>
  <c r="AU67" i="1"/>
  <c r="O74" i="1"/>
  <c r="O77" i="1"/>
  <c r="O73" i="1"/>
  <c r="O76" i="1"/>
  <c r="O75" i="1"/>
  <c r="O72" i="1"/>
  <c r="O71" i="1"/>
  <c r="AP25" i="1"/>
  <c r="AP50" i="1"/>
  <c r="AP10" i="1"/>
  <c r="AL67" i="1"/>
  <c r="AM6" i="1" s="1"/>
  <c r="AN6" i="1" s="1"/>
  <c r="AL68" i="1"/>
  <c r="AI68" i="1"/>
  <c r="AI67" i="1"/>
  <c r="AF68" i="1"/>
  <c r="AF67" i="1"/>
  <c r="AG6" i="1"/>
  <c r="AH6" i="1" s="1"/>
  <c r="AP28" i="1"/>
  <c r="AP7" i="1"/>
  <c r="AP22" i="1"/>
  <c r="AQ22" i="1" s="1"/>
  <c r="AP48" i="1"/>
  <c r="AP52" i="1"/>
  <c r="AP32" i="1"/>
  <c r="AP26" i="1"/>
  <c r="AP60" i="1"/>
  <c r="AQ60" i="1" s="1"/>
  <c r="AP38" i="1"/>
  <c r="AP62" i="1"/>
  <c r="AP37" i="1"/>
  <c r="AQ37" i="1" s="1"/>
  <c r="AP63" i="1"/>
  <c r="AP36" i="1"/>
  <c r="AP47" i="1"/>
  <c r="AP14" i="1"/>
  <c r="AP9" i="1"/>
  <c r="AQ9" i="1" s="1"/>
  <c r="AP42" i="1"/>
  <c r="AP40" i="1"/>
  <c r="AP24" i="1"/>
  <c r="AA11" i="1"/>
  <c r="U69" i="1"/>
  <c r="AA20" i="1"/>
  <c r="AA13" i="1"/>
  <c r="AB13" i="1" s="1"/>
  <c r="AP13" i="1"/>
  <c r="AQ13" i="1" s="1"/>
  <c r="AC67" i="1"/>
  <c r="AC68" i="1"/>
  <c r="AD6" i="1"/>
  <c r="AE6" i="1" s="1"/>
  <c r="T77" i="1"/>
  <c r="T73" i="1"/>
  <c r="T76" i="1"/>
  <c r="T72" i="1"/>
  <c r="T71" i="1"/>
  <c r="T74" i="1"/>
  <c r="T75" i="1"/>
  <c r="Q76" i="1"/>
  <c r="Q72" i="1"/>
  <c r="Q75" i="1"/>
  <c r="Q71" i="1"/>
  <c r="Q74" i="1"/>
  <c r="Q77" i="1"/>
  <c r="Q73" i="1"/>
  <c r="AB65" i="1"/>
  <c r="AB63" i="1"/>
  <c r="AB62" i="1"/>
  <c r="AB61" i="1"/>
  <c r="AB60" i="1"/>
  <c r="AB55" i="1"/>
  <c r="AB35" i="1"/>
  <c r="AB34" i="1"/>
  <c r="AB33" i="1"/>
  <c r="AB32" i="1"/>
  <c r="AB31" i="1"/>
  <c r="AB30" i="1"/>
  <c r="AB29" i="1"/>
  <c r="AB28" i="1"/>
  <c r="AB27" i="1"/>
  <c r="AB25" i="1"/>
  <c r="AB24" i="1"/>
  <c r="AB23" i="1"/>
  <c r="AB22" i="1"/>
  <c r="AB21" i="1"/>
  <c r="AB20" i="1"/>
  <c r="AB19" i="1"/>
  <c r="AB18" i="1"/>
  <c r="AB17" i="1"/>
  <c r="AB16" i="1"/>
  <c r="AB15" i="1"/>
  <c r="AB14" i="1"/>
  <c r="AB12" i="1"/>
  <c r="AB11" i="1"/>
  <c r="AB10" i="1"/>
  <c r="AB9" i="1"/>
  <c r="AB8" i="1"/>
  <c r="AB7" i="1"/>
  <c r="AB6" i="1"/>
  <c r="AB59" i="1"/>
  <c r="AB56" i="1"/>
  <c r="AB47" i="1"/>
  <c r="AB46" i="1"/>
  <c r="AB39" i="1"/>
  <c r="AB38" i="1"/>
  <c r="AB58" i="1"/>
  <c r="AB49" i="1"/>
  <c r="AB48" i="1"/>
  <c r="AB41" i="1"/>
  <c r="AB40" i="1"/>
  <c r="AB51" i="1"/>
  <c r="AB43" i="1"/>
  <c r="AB42" i="1"/>
  <c r="AB36" i="1"/>
  <c r="AB52" i="1"/>
  <c r="AB44" i="1"/>
  <c r="AB45" i="1"/>
  <c r="AP65" i="1"/>
  <c r="AQ65" i="1"/>
  <c r="AQ63" i="1"/>
  <c r="AQ62" i="1"/>
  <c r="AQ61" i="1"/>
  <c r="AQ59" i="1"/>
  <c r="AQ64" i="1"/>
  <c r="AQ56" i="1"/>
  <c r="AQ55" i="1"/>
  <c r="AQ54" i="1"/>
  <c r="AQ53" i="1"/>
  <c r="AQ47" i="1"/>
  <c r="AQ45" i="1"/>
  <c r="AQ41" i="1"/>
  <c r="AQ39" i="1"/>
  <c r="AQ38" i="1"/>
  <c r="AQ31" i="1"/>
  <c r="AQ23" i="1"/>
  <c r="AQ19" i="1"/>
  <c r="AQ7" i="1"/>
  <c r="AQ48" i="1"/>
  <c r="AQ40" i="1"/>
  <c r="AQ34" i="1"/>
  <c r="AQ30" i="1"/>
  <c r="AQ26" i="1"/>
  <c r="AQ14" i="1"/>
  <c r="AQ10" i="1"/>
  <c r="AQ6" i="1"/>
  <c r="AQ58" i="1"/>
  <c r="AQ50" i="1"/>
  <c r="AQ42" i="1"/>
  <c r="AQ36" i="1"/>
  <c r="AQ33" i="1"/>
  <c r="AQ25" i="1"/>
  <c r="AQ32" i="1"/>
  <c r="AQ28" i="1"/>
  <c r="AQ24" i="1"/>
  <c r="AQ8" i="1"/>
  <c r="AQ21" i="1"/>
  <c r="AQ57" i="1"/>
  <c r="AQ20" i="1"/>
  <c r="AQ52" i="1"/>
  <c r="AQ16" i="1"/>
  <c r="AQ44" i="1"/>
  <c r="AX67" i="1"/>
  <c r="AX68" i="1"/>
  <c r="V69" i="1"/>
  <c r="AP51" i="1"/>
  <c r="AQ51" i="1" s="1"/>
  <c r="AP35" i="1"/>
  <c r="AQ35" i="1" s="1"/>
  <c r="AP27" i="1"/>
  <c r="AQ27" i="1" s="1"/>
  <c r="AR68" i="1"/>
  <c r="AR67" i="1"/>
  <c r="AS6" i="1"/>
  <c r="AT6" i="1" s="1"/>
  <c r="P69" i="1"/>
  <c r="S69" i="1"/>
  <c r="AP49" i="1"/>
  <c r="AQ49" i="1" s="1"/>
  <c r="AA64" i="1"/>
  <c r="AB64" i="1" s="1"/>
  <c r="AA55" i="1"/>
  <c r="AA54" i="1"/>
  <c r="AB54" i="1" s="1"/>
  <c r="AA53" i="1"/>
  <c r="AB53" i="1" s="1"/>
  <c r="AA50" i="1"/>
  <c r="AB50" i="1" s="1"/>
  <c r="AA8" i="1"/>
  <c r="AA42" i="1"/>
  <c r="AA57" i="1"/>
  <c r="AB57" i="1" s="1"/>
  <c r="AP43" i="1"/>
  <c r="AQ43" i="1" s="1"/>
  <c r="AA35" i="1"/>
  <c r="AA26" i="1"/>
  <c r="AB26" i="1" s="1"/>
  <c r="AA37" i="1"/>
  <c r="AB37" i="1" s="1"/>
  <c r="AP12" i="1"/>
  <c r="AQ12" i="1" s="1"/>
  <c r="AP46" i="1"/>
  <c r="AQ46" i="1" s="1"/>
  <c r="AP23" i="1"/>
  <c r="AP39" i="1"/>
  <c r="AP29" i="1"/>
  <c r="AQ29" i="1" s="1"/>
  <c r="AP15" i="1"/>
  <c r="AQ15" i="1" s="1"/>
  <c r="AA32" i="1"/>
  <c r="AP18" i="1"/>
  <c r="AQ18" i="1" s="1"/>
  <c r="AP17" i="1"/>
  <c r="AQ17" i="1" s="1"/>
  <c r="AP11" i="1"/>
  <c r="AQ11" i="1" s="1"/>
  <c r="AA12" i="1"/>
  <c r="N26" i="2"/>
  <c r="M72" i="2"/>
  <c r="N56" i="2"/>
  <c r="N37" i="2"/>
  <c r="N63" i="2"/>
  <c r="N9" i="2"/>
  <c r="N43" i="2"/>
  <c r="N6" i="2"/>
  <c r="N17" i="2"/>
  <c r="N36" i="2"/>
  <c r="N51" i="2"/>
  <c r="N58" i="2"/>
  <c r="D71" i="2"/>
  <c r="N22" i="2"/>
  <c r="N25" i="2"/>
  <c r="N61" i="2"/>
  <c r="N18" i="2"/>
  <c r="N31" i="2"/>
  <c r="N24" i="2"/>
  <c r="N55" i="2"/>
  <c r="N11" i="2"/>
  <c r="N19" i="2"/>
  <c r="N27" i="2"/>
  <c r="N57" i="2"/>
  <c r="N30" i="2"/>
  <c r="N38" i="2"/>
  <c r="N40" i="2"/>
  <c r="M71" i="2"/>
  <c r="N45" i="2"/>
  <c r="N59" i="2"/>
  <c r="N16" i="2"/>
  <c r="N10" i="2"/>
  <c r="N20" i="2"/>
  <c r="N8" i="2"/>
  <c r="N5" i="2"/>
  <c r="N13" i="2"/>
  <c r="N21" i="2"/>
  <c r="N35" i="2"/>
  <c r="N33" i="2"/>
  <c r="N32" i="2"/>
  <c r="N42" i="2"/>
  <c r="N48" i="2"/>
  <c r="N39" i="2"/>
  <c r="N47" i="2"/>
  <c r="M73" i="2"/>
  <c r="N62" i="2"/>
  <c r="N14" i="2"/>
  <c r="N12" i="2"/>
  <c r="N29" i="2"/>
  <c r="N7" i="2"/>
  <c r="N15" i="2"/>
  <c r="N23" i="2"/>
  <c r="N46" i="2"/>
  <c r="N44" i="2"/>
  <c r="N34" i="2"/>
  <c r="N50" i="2"/>
  <c r="N53" i="2"/>
  <c r="N41" i="2"/>
  <c r="N49" i="2"/>
  <c r="N54" i="2"/>
  <c r="N64" i="2"/>
  <c r="N52" i="2"/>
  <c r="N60" i="2"/>
  <c r="M74" i="2"/>
  <c r="Y74" i="2"/>
  <c r="Y70" i="2"/>
  <c r="Z64" i="2"/>
  <c r="Z62" i="2"/>
  <c r="Z60" i="2"/>
  <c r="Z58" i="2"/>
  <c r="Z56" i="2"/>
  <c r="Z54" i="2"/>
  <c r="Z52" i="2"/>
  <c r="Z50" i="2"/>
  <c r="Y72" i="2"/>
  <c r="Z63" i="2"/>
  <c r="Z55" i="2"/>
  <c r="Z49" i="2"/>
  <c r="Z47" i="2"/>
  <c r="Z45" i="2"/>
  <c r="Z43" i="2"/>
  <c r="Z41" i="2"/>
  <c r="Z39" i="2"/>
  <c r="Z59" i="2"/>
  <c r="Z44" i="2"/>
  <c r="Z57" i="2"/>
  <c r="Z46" i="2"/>
  <c r="Z38" i="2"/>
  <c r="Z36" i="2"/>
  <c r="Z34" i="2"/>
  <c r="Z32" i="2"/>
  <c r="Z30" i="2"/>
  <c r="Z28" i="2"/>
  <c r="Y71" i="2"/>
  <c r="Z53" i="2"/>
  <c r="Z51" i="2"/>
  <c r="Z40" i="2"/>
  <c r="Z37" i="2"/>
  <c r="Z29" i="2"/>
  <c r="Z61" i="2"/>
  <c r="Z48" i="2"/>
  <c r="Z42" i="2"/>
  <c r="Z31" i="2"/>
  <c r="Z27" i="2"/>
  <c r="Z25" i="2"/>
  <c r="Z23" i="2"/>
  <c r="Z21" i="2"/>
  <c r="Z19" i="2"/>
  <c r="Z17" i="2"/>
  <c r="Z15" i="2"/>
  <c r="Z13" i="2"/>
  <c r="Z11" i="2"/>
  <c r="Z9" i="2"/>
  <c r="Z7" i="2"/>
  <c r="Z5" i="2"/>
  <c r="Z33" i="2"/>
  <c r="Y73" i="2"/>
  <c r="Z22" i="2"/>
  <c r="Z14" i="2"/>
  <c r="Z6" i="2"/>
  <c r="Z18" i="2"/>
  <c r="Z10" i="2"/>
  <c r="Z20" i="2"/>
  <c r="Z24" i="2"/>
  <c r="Z16" i="2"/>
  <c r="Z8" i="2"/>
  <c r="Z35" i="2"/>
  <c r="Z26" i="2"/>
  <c r="Z12" i="2"/>
  <c r="S72" i="2"/>
  <c r="T64" i="2"/>
  <c r="T62" i="2"/>
  <c r="T60" i="2"/>
  <c r="T58" i="2"/>
  <c r="T56" i="2"/>
  <c r="T54" i="2"/>
  <c r="T52" i="2"/>
  <c r="T50" i="2"/>
  <c r="S74" i="2"/>
  <c r="S71" i="2"/>
  <c r="T57" i="2"/>
  <c r="T49" i="2"/>
  <c r="T47" i="2"/>
  <c r="T45" i="2"/>
  <c r="T43" i="2"/>
  <c r="T41" i="2"/>
  <c r="T39" i="2"/>
  <c r="S70" i="2"/>
  <c r="T55" i="2"/>
  <c r="T46" i="2"/>
  <c r="S73" i="2"/>
  <c r="T63" i="2"/>
  <c r="T53" i="2"/>
  <c r="T48" i="2"/>
  <c r="T40" i="2"/>
  <c r="T38" i="2"/>
  <c r="T36" i="2"/>
  <c r="T34" i="2"/>
  <c r="T32" i="2"/>
  <c r="T30" i="2"/>
  <c r="T28" i="2"/>
  <c r="T42" i="2"/>
  <c r="T31" i="2"/>
  <c r="T61" i="2"/>
  <c r="T59" i="2"/>
  <c r="T44" i="2"/>
  <c r="T33" i="2"/>
  <c r="T27" i="2"/>
  <c r="T25" i="2"/>
  <c r="T23" i="2"/>
  <c r="T21" i="2"/>
  <c r="T19" i="2"/>
  <c r="T17" i="2"/>
  <c r="T15" i="2"/>
  <c r="T13" i="2"/>
  <c r="T11" i="2"/>
  <c r="T9" i="2"/>
  <c r="T7" i="2"/>
  <c r="T5" i="2"/>
  <c r="T35" i="2"/>
  <c r="T51" i="2"/>
  <c r="T37" i="2"/>
  <c r="T24" i="2"/>
  <c r="T16" i="2"/>
  <c r="T8" i="2"/>
  <c r="T12" i="2"/>
  <c r="T22" i="2"/>
  <c r="T29" i="2"/>
  <c r="T26" i="2"/>
  <c r="T18" i="2"/>
  <c r="T10" i="2"/>
  <c r="T20" i="2"/>
  <c r="T14" i="2"/>
  <c r="T6" i="2"/>
  <c r="V71" i="2"/>
  <c r="W63" i="2"/>
  <c r="W61" i="2"/>
  <c r="W59" i="2"/>
  <c r="W57" i="2"/>
  <c r="W55" i="2"/>
  <c r="W53" i="2"/>
  <c r="W51" i="2"/>
  <c r="W64" i="2"/>
  <c r="W56" i="2"/>
  <c r="W48" i="2"/>
  <c r="W46" i="2"/>
  <c r="W44" i="2"/>
  <c r="W42" i="2"/>
  <c r="W40" i="2"/>
  <c r="V73" i="2"/>
  <c r="W62" i="2"/>
  <c r="W52" i="2"/>
  <c r="W45" i="2"/>
  <c r="V72" i="2"/>
  <c r="W60" i="2"/>
  <c r="W50" i="2"/>
  <c r="W47" i="2"/>
  <c r="W39" i="2"/>
  <c r="W37" i="2"/>
  <c r="W35" i="2"/>
  <c r="W33" i="2"/>
  <c r="W31" i="2"/>
  <c r="W29" i="2"/>
  <c r="W49" i="2"/>
  <c r="W38" i="2"/>
  <c r="W30" i="2"/>
  <c r="V70" i="2"/>
  <c r="V74" i="2"/>
  <c r="W32" i="2"/>
  <c r="W26" i="2"/>
  <c r="W24" i="2"/>
  <c r="W22" i="2"/>
  <c r="W20" i="2"/>
  <c r="W18" i="2"/>
  <c r="W16" i="2"/>
  <c r="W14" i="2"/>
  <c r="W12" i="2"/>
  <c r="W10" i="2"/>
  <c r="W8" i="2"/>
  <c r="W6" i="2"/>
  <c r="W54" i="2"/>
  <c r="W41" i="2"/>
  <c r="W34" i="2"/>
  <c r="W58" i="2"/>
  <c r="W43" i="2"/>
  <c r="W36" i="2"/>
  <c r="W23" i="2"/>
  <c r="W15" i="2"/>
  <c r="W7" i="2"/>
  <c r="W28" i="2"/>
  <c r="W27" i="2"/>
  <c r="W19" i="2"/>
  <c r="W25" i="2"/>
  <c r="W17" i="2"/>
  <c r="W9" i="2"/>
  <c r="W11" i="2"/>
  <c r="W21" i="2"/>
  <c r="W13" i="2"/>
  <c r="W5" i="2"/>
  <c r="D73" i="2"/>
  <c r="E63" i="2"/>
  <c r="E61" i="2"/>
  <c r="E59" i="2"/>
  <c r="E57" i="2"/>
  <c r="E55" i="2"/>
  <c r="E53" i="2"/>
  <c r="E51" i="2"/>
  <c r="D74" i="2"/>
  <c r="E62" i="2"/>
  <c r="E54" i="2"/>
  <c r="E50" i="2"/>
  <c r="E48" i="2"/>
  <c r="E46" i="2"/>
  <c r="E44" i="2"/>
  <c r="E42" i="2"/>
  <c r="E40" i="2"/>
  <c r="D72" i="2"/>
  <c r="E64" i="2"/>
  <c r="E52" i="2"/>
  <c r="E43" i="2"/>
  <c r="E60" i="2"/>
  <c r="E45" i="2"/>
  <c r="E37" i="2"/>
  <c r="E35" i="2"/>
  <c r="E33" i="2"/>
  <c r="E31" i="2"/>
  <c r="E29" i="2"/>
  <c r="E39" i="2"/>
  <c r="E36" i="2"/>
  <c r="E49" i="2"/>
  <c r="D70" i="2"/>
  <c r="E41" i="2"/>
  <c r="E38" i="2"/>
  <c r="E30" i="2"/>
  <c r="E28" i="2"/>
  <c r="E26" i="2"/>
  <c r="E24" i="2"/>
  <c r="E22" i="2"/>
  <c r="E20" i="2"/>
  <c r="E18" i="2"/>
  <c r="E16" i="2"/>
  <c r="E14" i="2"/>
  <c r="E12" i="2"/>
  <c r="E10" i="2"/>
  <c r="E8" i="2"/>
  <c r="E6" i="2"/>
  <c r="E47" i="2"/>
  <c r="E32" i="2"/>
  <c r="E58" i="2"/>
  <c r="E56" i="2"/>
  <c r="E34" i="2"/>
  <c r="E21" i="2"/>
  <c r="E13" i="2"/>
  <c r="E5" i="2"/>
  <c r="E25" i="2"/>
  <c r="E17" i="2"/>
  <c r="E9" i="2"/>
  <c r="E27" i="2"/>
  <c r="E19" i="2"/>
  <c r="E23" i="2"/>
  <c r="E15" i="2"/>
  <c r="E7" i="2"/>
  <c r="E11" i="2"/>
  <c r="G72" i="2"/>
  <c r="H64" i="2"/>
  <c r="H62" i="2"/>
  <c r="H60" i="2"/>
  <c r="H58" i="2"/>
  <c r="H56" i="2"/>
  <c r="H54" i="2"/>
  <c r="H52" i="2"/>
  <c r="H61" i="2"/>
  <c r="H53" i="2"/>
  <c r="H49" i="2"/>
  <c r="H47" i="2"/>
  <c r="H45" i="2"/>
  <c r="H43" i="2"/>
  <c r="H41" i="2"/>
  <c r="H39" i="2"/>
  <c r="H59" i="2"/>
  <c r="H50" i="2"/>
  <c r="H42" i="2"/>
  <c r="G71" i="2"/>
  <c r="H57" i="2"/>
  <c r="H44" i="2"/>
  <c r="H38" i="2"/>
  <c r="H36" i="2"/>
  <c r="H34" i="2"/>
  <c r="H32" i="2"/>
  <c r="H30" i="2"/>
  <c r="G70" i="2"/>
  <c r="H51" i="2"/>
  <c r="H46" i="2"/>
  <c r="H35" i="2"/>
  <c r="G74" i="2"/>
  <c r="H63" i="2"/>
  <c r="G73" i="2"/>
  <c r="H55" i="2"/>
  <c r="H48" i="2"/>
  <c r="H37" i="2"/>
  <c r="H29" i="2"/>
  <c r="H27" i="2"/>
  <c r="H25" i="2"/>
  <c r="H23" i="2"/>
  <c r="H21" i="2"/>
  <c r="H19" i="2"/>
  <c r="H17" i="2"/>
  <c r="H15" i="2"/>
  <c r="H13" i="2"/>
  <c r="H11" i="2"/>
  <c r="H9" i="2"/>
  <c r="H7" i="2"/>
  <c r="H5" i="2"/>
  <c r="H31" i="2"/>
  <c r="H40" i="2"/>
  <c r="H28" i="2"/>
  <c r="H20" i="2"/>
  <c r="H12" i="2"/>
  <c r="H16" i="2"/>
  <c r="H8" i="2"/>
  <c r="H26" i="2"/>
  <c r="H33" i="2"/>
  <c r="H22" i="2"/>
  <c r="H14" i="2"/>
  <c r="H6" i="2"/>
  <c r="H24" i="2"/>
  <c r="H18" i="2"/>
  <c r="H10" i="2"/>
  <c r="AB73" i="2"/>
  <c r="AC63" i="2"/>
  <c r="AC61" i="2"/>
  <c r="AC59" i="2"/>
  <c r="AC57" i="2"/>
  <c r="AC55" i="2"/>
  <c r="AC53" i="2"/>
  <c r="AC51" i="2"/>
  <c r="AC62" i="2"/>
  <c r="AC54" i="2"/>
  <c r="AC48" i="2"/>
  <c r="AC46" i="2"/>
  <c r="AC44" i="2"/>
  <c r="AC42" i="2"/>
  <c r="AC40" i="2"/>
  <c r="AC38" i="2"/>
  <c r="AB72" i="2"/>
  <c r="AC56" i="2"/>
  <c r="AC43" i="2"/>
  <c r="AB71" i="2"/>
  <c r="AC64" i="2"/>
  <c r="AC52" i="2"/>
  <c r="AC45" i="2"/>
  <c r="AC37" i="2"/>
  <c r="AC35" i="2"/>
  <c r="AC33" i="2"/>
  <c r="AC31" i="2"/>
  <c r="AC29" i="2"/>
  <c r="AB74" i="2"/>
  <c r="AC60" i="2"/>
  <c r="AC58" i="2"/>
  <c r="AC47" i="2"/>
  <c r="AC36" i="2"/>
  <c r="AC28" i="2"/>
  <c r="AC49" i="2"/>
  <c r="AC30" i="2"/>
  <c r="AC26" i="2"/>
  <c r="AC24" i="2"/>
  <c r="AC22" i="2"/>
  <c r="AC20" i="2"/>
  <c r="AC18" i="2"/>
  <c r="AC16" i="2"/>
  <c r="AC14" i="2"/>
  <c r="AC12" i="2"/>
  <c r="AC10" i="2"/>
  <c r="AC8" i="2"/>
  <c r="AC6" i="2"/>
  <c r="AB70" i="2"/>
  <c r="AC39" i="2"/>
  <c r="AC32" i="2"/>
  <c r="AC50" i="2"/>
  <c r="AC41" i="2"/>
  <c r="AC21" i="2"/>
  <c r="AC13" i="2"/>
  <c r="AC5" i="2"/>
  <c r="AC25" i="2"/>
  <c r="AC34" i="2"/>
  <c r="AC27" i="2"/>
  <c r="AC23" i="2"/>
  <c r="AC15" i="2"/>
  <c r="AC7" i="2"/>
  <c r="AC17" i="2"/>
  <c r="AC9" i="2"/>
  <c r="AC19" i="2"/>
  <c r="AC11" i="2"/>
  <c r="P73" i="2"/>
  <c r="Q63" i="2"/>
  <c r="Q61" i="2"/>
  <c r="Q59" i="2"/>
  <c r="Q57" i="2"/>
  <c r="Q55" i="2"/>
  <c r="Q53" i="2"/>
  <c r="Q51" i="2"/>
  <c r="P70" i="2"/>
  <c r="Q58" i="2"/>
  <c r="Q50" i="2"/>
  <c r="Q48" i="2"/>
  <c r="Q46" i="2"/>
  <c r="Q44" i="2"/>
  <c r="Q42" i="2"/>
  <c r="Q40" i="2"/>
  <c r="P74" i="2"/>
  <c r="Q60" i="2"/>
  <c r="Q47" i="2"/>
  <c r="Q39" i="2"/>
  <c r="Q56" i="2"/>
  <c r="Q49" i="2"/>
  <c r="Q41" i="2"/>
  <c r="Q37" i="2"/>
  <c r="Q35" i="2"/>
  <c r="Q33" i="2"/>
  <c r="Q31" i="2"/>
  <c r="Q29" i="2"/>
  <c r="Q32" i="2"/>
  <c r="Q62" i="2"/>
  <c r="Q43" i="2"/>
  <c r="Q38" i="2"/>
  <c r="P71" i="2"/>
  <c r="Q54" i="2"/>
  <c r="Q52" i="2"/>
  <c r="Q34" i="2"/>
  <c r="Q26" i="2"/>
  <c r="Q24" i="2"/>
  <c r="Q22" i="2"/>
  <c r="Q20" i="2"/>
  <c r="Q18" i="2"/>
  <c r="Q16" i="2"/>
  <c r="Q14" i="2"/>
  <c r="Q12" i="2"/>
  <c r="Q10" i="2"/>
  <c r="Q8" i="2"/>
  <c r="Q6" i="2"/>
  <c r="P72" i="2"/>
  <c r="Q64" i="2"/>
  <c r="Q36" i="2"/>
  <c r="Q28" i="2"/>
  <c r="Q45" i="2"/>
  <c r="Q30" i="2"/>
  <c r="Q25" i="2"/>
  <c r="Q17" i="2"/>
  <c r="Q9" i="2"/>
  <c r="Q21" i="2"/>
  <c r="Q23" i="2"/>
  <c r="Q27" i="2"/>
  <c r="Q19" i="2"/>
  <c r="Q11" i="2"/>
  <c r="Q13" i="2"/>
  <c r="Q5" i="2"/>
  <c r="Q15" i="2"/>
  <c r="Q7" i="2"/>
  <c r="J71" i="2"/>
  <c r="K63" i="2"/>
  <c r="K61" i="2"/>
  <c r="K59" i="2"/>
  <c r="K57" i="2"/>
  <c r="K55" i="2"/>
  <c r="K53" i="2"/>
  <c r="K51" i="2"/>
  <c r="J72" i="2"/>
  <c r="K60" i="2"/>
  <c r="K52" i="2"/>
  <c r="K50" i="2"/>
  <c r="K48" i="2"/>
  <c r="K46" i="2"/>
  <c r="K44" i="2"/>
  <c r="K42" i="2"/>
  <c r="K40" i="2"/>
  <c r="K56" i="2"/>
  <c r="K49" i="2"/>
  <c r="K41" i="2"/>
  <c r="J74" i="2"/>
  <c r="J70" i="2"/>
  <c r="K64" i="2"/>
  <c r="K54" i="2"/>
  <c r="K43" i="2"/>
  <c r="K37" i="2"/>
  <c r="K35" i="2"/>
  <c r="K33" i="2"/>
  <c r="K31" i="2"/>
  <c r="K29" i="2"/>
  <c r="J73" i="2"/>
  <c r="K58" i="2"/>
  <c r="K34" i="2"/>
  <c r="K47" i="2"/>
  <c r="K62" i="2"/>
  <c r="K39" i="2"/>
  <c r="K36" i="2"/>
  <c r="K28" i="2"/>
  <c r="K26" i="2"/>
  <c r="K24" i="2"/>
  <c r="K22" i="2"/>
  <c r="K20" i="2"/>
  <c r="K18" i="2"/>
  <c r="K16" i="2"/>
  <c r="K14" i="2"/>
  <c r="K12" i="2"/>
  <c r="K10" i="2"/>
  <c r="K8" i="2"/>
  <c r="K6" i="2"/>
  <c r="K45" i="2"/>
  <c r="K38" i="2"/>
  <c r="K30" i="2"/>
  <c r="K27" i="2"/>
  <c r="K19" i="2"/>
  <c r="K11" i="2"/>
  <c r="K23" i="2"/>
  <c r="K25" i="2"/>
  <c r="K17" i="2"/>
  <c r="K21" i="2"/>
  <c r="K13" i="2"/>
  <c r="K5" i="2"/>
  <c r="K32" i="2"/>
  <c r="K15" i="2"/>
  <c r="K7" i="2"/>
  <c r="K9" i="2"/>
  <c r="G25" i="4" l="1"/>
  <c r="I25" i="4"/>
  <c r="J25" i="4" s="1"/>
  <c r="I13" i="4" s="1"/>
  <c r="J13" i="4" s="1"/>
  <c r="G23" i="4"/>
  <c r="I23" i="4"/>
  <c r="J23" i="4" s="1"/>
  <c r="I8" i="4" s="1"/>
  <c r="J8" i="4" s="1"/>
  <c r="AJ48" i="1"/>
  <c r="AK48" i="1" s="1"/>
  <c r="AJ40" i="1"/>
  <c r="AK40" i="1" s="1"/>
  <c r="AJ50" i="1"/>
  <c r="AK50" i="1" s="1"/>
  <c r="AJ42" i="1"/>
  <c r="AK42" i="1" s="1"/>
  <c r="AJ36" i="1"/>
  <c r="AK36" i="1" s="1"/>
  <c r="AJ52" i="1"/>
  <c r="AK52" i="1" s="1"/>
  <c r="AJ44" i="1"/>
  <c r="AK44" i="1" s="1"/>
  <c r="AJ39" i="1"/>
  <c r="AK39" i="1" s="1"/>
  <c r="AJ10" i="1"/>
  <c r="AK10" i="1" s="1"/>
  <c r="AJ15" i="1"/>
  <c r="AK15" i="1" s="1"/>
  <c r="AJ38" i="1"/>
  <c r="AK38" i="1" s="1"/>
  <c r="AJ7" i="1"/>
  <c r="AK7" i="1" s="1"/>
  <c r="AJ43" i="1"/>
  <c r="AK43" i="1" s="1"/>
  <c r="AJ27" i="1"/>
  <c r="AK27" i="1" s="1"/>
  <c r="AJ57" i="1"/>
  <c r="AK57" i="1" s="1"/>
  <c r="AJ61" i="1"/>
  <c r="AK61" i="1" s="1"/>
  <c r="AJ12" i="1"/>
  <c r="AK12" i="1" s="1"/>
  <c r="AJ20" i="1"/>
  <c r="AK20" i="1" s="1"/>
  <c r="AJ28" i="1"/>
  <c r="AK28" i="1" s="1"/>
  <c r="AJ13" i="1"/>
  <c r="AK13" i="1" s="1"/>
  <c r="AJ21" i="1"/>
  <c r="AK21" i="1" s="1"/>
  <c r="AJ29" i="1"/>
  <c r="AK29" i="1" s="1"/>
  <c r="AJ65" i="1"/>
  <c r="AK65" i="1" s="1"/>
  <c r="AJ62" i="1"/>
  <c r="AK62" i="1" s="1"/>
  <c r="AJ63" i="1"/>
  <c r="AK63" i="1" s="1"/>
  <c r="AJ55" i="1"/>
  <c r="AK55" i="1" s="1"/>
  <c r="AJ64" i="1"/>
  <c r="AK64" i="1" s="1"/>
  <c r="AJ41" i="1"/>
  <c r="AK41" i="1" s="1"/>
  <c r="AJ31" i="1"/>
  <c r="AK31" i="1" s="1"/>
  <c r="AJ9" i="1"/>
  <c r="AK9" i="1" s="1"/>
  <c r="AJ17" i="1"/>
  <c r="AK17" i="1" s="1"/>
  <c r="AJ25" i="1"/>
  <c r="AK25" i="1" s="1"/>
  <c r="AJ33" i="1"/>
  <c r="AK33" i="1" s="1"/>
  <c r="AJ30" i="1"/>
  <c r="AK30" i="1" s="1"/>
  <c r="AJ22" i="1"/>
  <c r="AK22" i="1" s="1"/>
  <c r="AJ54" i="1"/>
  <c r="AK54" i="1" s="1"/>
  <c r="AJ60" i="1"/>
  <c r="AK60" i="1" s="1"/>
  <c r="AJ47" i="1"/>
  <c r="AK47" i="1" s="1"/>
  <c r="AJ51" i="1"/>
  <c r="AK51" i="1" s="1"/>
  <c r="AJ14" i="1"/>
  <c r="AK14" i="1" s="1"/>
  <c r="AJ45" i="1"/>
  <c r="AK45" i="1" s="1"/>
  <c r="AJ19" i="1"/>
  <c r="AK19" i="1" s="1"/>
  <c r="AJ49" i="1"/>
  <c r="AK49" i="1" s="1"/>
  <c r="AJ11" i="1"/>
  <c r="AK11" i="1" s="1"/>
  <c r="AJ37" i="1"/>
  <c r="AK37" i="1" s="1"/>
  <c r="AJ35" i="1"/>
  <c r="AK35" i="1" s="1"/>
  <c r="AJ53" i="1"/>
  <c r="AK53" i="1" s="1"/>
  <c r="AJ46" i="1"/>
  <c r="AK46" i="1" s="1"/>
  <c r="AJ34" i="1"/>
  <c r="AK34" i="1" s="1"/>
  <c r="AJ58" i="1"/>
  <c r="AK58" i="1" s="1"/>
  <c r="AJ23" i="1"/>
  <c r="AK23" i="1" s="1"/>
  <c r="AJ8" i="1"/>
  <c r="AK8" i="1" s="1"/>
  <c r="AJ16" i="1"/>
  <c r="AK16" i="1" s="1"/>
  <c r="AJ24" i="1"/>
  <c r="AK24" i="1" s="1"/>
  <c r="AJ32" i="1"/>
  <c r="AK32" i="1" s="1"/>
  <c r="AJ26" i="1"/>
  <c r="AK26" i="1" s="1"/>
  <c r="AJ18" i="1"/>
  <c r="AK18" i="1" s="1"/>
  <c r="AJ59" i="1"/>
  <c r="AK59" i="1" s="1"/>
  <c r="AJ56" i="1"/>
  <c r="AK56" i="1" s="1"/>
  <c r="AV36" i="1"/>
  <c r="AW36" i="1" s="1"/>
  <c r="AV55" i="1"/>
  <c r="AW55" i="1" s="1"/>
  <c r="AV53" i="1"/>
  <c r="AW53" i="1" s="1"/>
  <c r="AV33" i="1"/>
  <c r="AW33" i="1" s="1"/>
  <c r="AV52" i="1"/>
  <c r="AW52" i="1" s="1"/>
  <c r="AV21" i="1"/>
  <c r="AW21" i="1" s="1"/>
  <c r="AV47" i="1"/>
  <c r="AW47" i="1" s="1"/>
  <c r="AV13" i="1"/>
  <c r="AW13" i="1" s="1"/>
  <c r="AV39" i="1"/>
  <c r="AW39" i="1" s="1"/>
  <c r="AV34" i="1"/>
  <c r="AW34" i="1" s="1"/>
  <c r="AV43" i="1"/>
  <c r="AW43" i="1" s="1"/>
  <c r="AV59" i="1"/>
  <c r="AW59" i="1" s="1"/>
  <c r="AV60" i="1"/>
  <c r="AW60" i="1" s="1"/>
  <c r="AV49" i="1"/>
  <c r="AW49" i="1" s="1"/>
  <c r="AV51" i="1"/>
  <c r="AW51" i="1" s="1"/>
  <c r="AV64" i="1"/>
  <c r="AW64" i="1" s="1"/>
  <c r="AV46" i="1"/>
  <c r="AW46" i="1" s="1"/>
  <c r="AV7" i="1"/>
  <c r="AW7" i="1" s="1"/>
  <c r="AV9" i="1"/>
  <c r="AW9" i="1" s="1"/>
  <c r="AV44" i="1"/>
  <c r="AW44" i="1" s="1"/>
  <c r="AV12" i="1"/>
  <c r="AW12" i="1" s="1"/>
  <c r="AV28" i="1"/>
  <c r="AW28" i="1" s="1"/>
  <c r="AV42" i="1"/>
  <c r="AW42" i="1" s="1"/>
  <c r="AV41" i="1"/>
  <c r="AW41" i="1" s="1"/>
  <c r="AV58" i="1"/>
  <c r="AW58" i="1" s="1"/>
  <c r="AV37" i="1"/>
  <c r="AW37" i="1" s="1"/>
  <c r="AV17" i="1"/>
  <c r="AW17" i="1" s="1"/>
  <c r="AV25" i="1"/>
  <c r="AW25" i="1" s="1"/>
  <c r="AV45" i="1"/>
  <c r="AW45" i="1" s="1"/>
  <c r="AV18" i="1"/>
  <c r="AW18" i="1" s="1"/>
  <c r="AV22" i="1"/>
  <c r="AW22" i="1" s="1"/>
  <c r="AV30" i="1"/>
  <c r="AW30" i="1" s="1"/>
  <c r="AV57" i="1"/>
  <c r="AW57" i="1" s="1"/>
  <c r="AV61" i="1"/>
  <c r="AW61" i="1" s="1"/>
  <c r="AV15" i="1"/>
  <c r="AW15" i="1" s="1"/>
  <c r="AV23" i="1"/>
  <c r="AW23" i="1" s="1"/>
  <c r="AV31" i="1"/>
  <c r="AW31" i="1" s="1"/>
  <c r="AV8" i="1"/>
  <c r="AW8" i="1" s="1"/>
  <c r="AV16" i="1"/>
  <c r="AW16" i="1" s="1"/>
  <c r="AV24" i="1"/>
  <c r="AW24" i="1" s="1"/>
  <c r="AV32" i="1"/>
  <c r="AW32" i="1" s="1"/>
  <c r="AV65" i="1"/>
  <c r="AW65" i="1" s="1"/>
  <c r="AV62" i="1"/>
  <c r="AW62" i="1" s="1"/>
  <c r="AV63" i="1"/>
  <c r="AW63" i="1" s="1"/>
  <c r="AV50" i="1"/>
  <c r="AW50" i="1" s="1"/>
  <c r="AV29" i="1"/>
  <c r="AW29" i="1" s="1"/>
  <c r="AV10" i="1"/>
  <c r="AW10" i="1" s="1"/>
  <c r="AV14" i="1"/>
  <c r="AW14" i="1" s="1"/>
  <c r="AV40" i="1"/>
  <c r="AW40" i="1" s="1"/>
  <c r="AV54" i="1"/>
  <c r="AW54" i="1" s="1"/>
  <c r="AV48" i="1"/>
  <c r="AW48" i="1" s="1"/>
  <c r="AV38" i="1"/>
  <c r="AW38" i="1" s="1"/>
  <c r="AV56" i="1"/>
  <c r="AW56" i="1" s="1"/>
  <c r="AV26" i="1"/>
  <c r="AW26" i="1" s="1"/>
  <c r="AV11" i="1"/>
  <c r="AW11" i="1" s="1"/>
  <c r="AV19" i="1"/>
  <c r="AW19" i="1" s="1"/>
  <c r="AV27" i="1"/>
  <c r="AW27" i="1" s="1"/>
  <c r="AV35" i="1"/>
  <c r="AW35" i="1" s="1"/>
  <c r="AV20" i="1"/>
  <c r="AW20" i="1" s="1"/>
  <c r="S74" i="1"/>
  <c r="S77" i="1"/>
  <c r="S73" i="1"/>
  <c r="S72" i="1"/>
  <c r="S76" i="1"/>
  <c r="S75" i="1"/>
  <c r="S71" i="1"/>
  <c r="V75" i="1"/>
  <c r="V71" i="1"/>
  <c r="V74" i="1"/>
  <c r="V77" i="1"/>
  <c r="V73" i="1"/>
  <c r="V72" i="1"/>
  <c r="V76" i="1"/>
  <c r="AM45" i="1"/>
  <c r="AN45" i="1" s="1"/>
  <c r="AM47" i="1"/>
  <c r="AN47" i="1" s="1"/>
  <c r="AM39" i="1"/>
  <c r="AN39" i="1" s="1"/>
  <c r="AM57" i="1"/>
  <c r="AN57" i="1" s="1"/>
  <c r="AM49" i="1"/>
  <c r="AN49" i="1" s="1"/>
  <c r="AM41" i="1"/>
  <c r="AN41" i="1" s="1"/>
  <c r="AM48" i="1"/>
  <c r="AN48" i="1" s="1"/>
  <c r="AM56" i="1"/>
  <c r="AN56" i="1" s="1"/>
  <c r="AM43" i="1"/>
  <c r="AN43" i="1" s="1"/>
  <c r="AM7" i="1"/>
  <c r="AN7" i="1" s="1"/>
  <c r="AN70" i="1" s="1"/>
  <c r="AM54" i="1"/>
  <c r="AN54" i="1" s="1"/>
  <c r="AM53" i="1"/>
  <c r="AN53" i="1" s="1"/>
  <c r="AM51" i="1"/>
  <c r="AN51" i="1" s="1"/>
  <c r="AM40" i="1"/>
  <c r="AN40" i="1" s="1"/>
  <c r="AM23" i="1"/>
  <c r="AN23" i="1" s="1"/>
  <c r="AM17" i="1"/>
  <c r="AN17" i="1" s="1"/>
  <c r="AM9" i="1"/>
  <c r="AN9" i="1" s="1"/>
  <c r="AM63" i="1"/>
  <c r="AN63" i="1" s="1"/>
  <c r="AM50" i="1"/>
  <c r="AN50" i="1" s="1"/>
  <c r="AM29" i="1"/>
  <c r="AN29" i="1" s="1"/>
  <c r="AM26" i="1"/>
  <c r="AN26" i="1" s="1"/>
  <c r="AM30" i="1"/>
  <c r="AN30" i="1" s="1"/>
  <c r="AM65" i="1"/>
  <c r="AN65" i="1" s="1"/>
  <c r="AM58" i="1"/>
  <c r="AN58" i="1" s="1"/>
  <c r="AM59" i="1"/>
  <c r="AN59" i="1" s="1"/>
  <c r="AM35" i="1"/>
  <c r="AN35" i="1" s="1"/>
  <c r="AM24" i="1"/>
  <c r="AN24" i="1" s="1"/>
  <c r="AM38" i="1"/>
  <c r="AN38" i="1" s="1"/>
  <c r="AM14" i="1"/>
  <c r="AN14" i="1" s="1"/>
  <c r="AM46" i="1"/>
  <c r="AN46" i="1" s="1"/>
  <c r="AM60" i="1"/>
  <c r="AN60" i="1" s="1"/>
  <c r="AM61" i="1"/>
  <c r="AN61" i="1" s="1"/>
  <c r="AM28" i="1"/>
  <c r="AN28" i="1" s="1"/>
  <c r="AM31" i="1"/>
  <c r="AN31" i="1" s="1"/>
  <c r="AM25" i="1"/>
  <c r="AN25" i="1" s="1"/>
  <c r="AM33" i="1"/>
  <c r="AN33" i="1" s="1"/>
  <c r="AM21" i="1"/>
  <c r="AN21" i="1" s="1"/>
  <c r="AM12" i="1"/>
  <c r="AN12" i="1" s="1"/>
  <c r="AM20" i="1"/>
  <c r="AN20" i="1" s="1"/>
  <c r="AM32" i="1"/>
  <c r="AN32" i="1" s="1"/>
  <c r="AM18" i="1"/>
  <c r="AN18" i="1" s="1"/>
  <c r="AM36" i="1"/>
  <c r="AN36" i="1" s="1"/>
  <c r="AM22" i="1"/>
  <c r="AN22" i="1" s="1"/>
  <c r="AM10" i="1"/>
  <c r="AN10" i="1" s="1"/>
  <c r="AM44" i="1"/>
  <c r="AN44" i="1" s="1"/>
  <c r="AM64" i="1"/>
  <c r="AN64" i="1" s="1"/>
  <c r="AM62" i="1"/>
  <c r="AN62" i="1" s="1"/>
  <c r="AM27" i="1"/>
  <c r="AN27" i="1" s="1"/>
  <c r="AM19" i="1"/>
  <c r="AN19" i="1" s="1"/>
  <c r="AM11" i="1"/>
  <c r="AN11" i="1" s="1"/>
  <c r="AM15" i="1"/>
  <c r="AN15" i="1" s="1"/>
  <c r="AM13" i="1"/>
  <c r="AN13" i="1" s="1"/>
  <c r="AM52" i="1"/>
  <c r="AN52" i="1" s="1"/>
  <c r="AM34" i="1"/>
  <c r="AN34" i="1" s="1"/>
  <c r="AM8" i="1"/>
  <c r="AN8" i="1" s="1"/>
  <c r="AM16" i="1"/>
  <c r="AN16" i="1" s="1"/>
  <c r="AM42" i="1"/>
  <c r="AN42" i="1" s="1"/>
  <c r="AM37" i="1"/>
  <c r="AN37" i="1" s="1"/>
  <c r="AM55" i="1"/>
  <c r="AN55" i="1" s="1"/>
  <c r="AS65" i="1"/>
  <c r="AT65" i="1" s="1"/>
  <c r="AS59" i="1"/>
  <c r="AT59" i="1" s="1"/>
  <c r="AS55" i="1"/>
  <c r="AT55" i="1" s="1"/>
  <c r="AS33" i="1"/>
  <c r="AT33" i="1" s="1"/>
  <c r="AS29" i="1"/>
  <c r="AT29" i="1" s="1"/>
  <c r="AS25" i="1"/>
  <c r="AT25" i="1" s="1"/>
  <c r="AS21" i="1"/>
  <c r="AT21" i="1" s="1"/>
  <c r="AS17" i="1"/>
  <c r="AT17" i="1" s="1"/>
  <c r="AS13" i="1"/>
  <c r="AT13" i="1" s="1"/>
  <c r="AS9" i="1"/>
  <c r="AT9" i="1" s="1"/>
  <c r="AS32" i="1"/>
  <c r="AT32" i="1" s="1"/>
  <c r="AS28" i="1"/>
  <c r="AT28" i="1" s="1"/>
  <c r="AS24" i="1"/>
  <c r="AT24" i="1" s="1"/>
  <c r="AS35" i="1"/>
  <c r="AT35" i="1" s="1"/>
  <c r="AS31" i="1"/>
  <c r="AT31" i="1" s="1"/>
  <c r="AS27" i="1"/>
  <c r="AT27" i="1" s="1"/>
  <c r="AS20" i="1"/>
  <c r="AT20" i="1" s="1"/>
  <c r="AS16" i="1"/>
  <c r="AT16" i="1" s="1"/>
  <c r="AS8" i="1"/>
  <c r="AT8" i="1" s="1"/>
  <c r="AS12" i="1"/>
  <c r="AT12" i="1" s="1"/>
  <c r="AT70" i="1" s="1"/>
  <c r="AS15" i="1"/>
  <c r="AT15" i="1" s="1"/>
  <c r="AS7" i="1"/>
  <c r="AT7" i="1" s="1"/>
  <c r="AS11" i="1"/>
  <c r="AT11" i="1" s="1"/>
  <c r="AS30" i="1"/>
  <c r="AT30" i="1" s="1"/>
  <c r="AS49" i="1"/>
  <c r="AT49" i="1" s="1"/>
  <c r="AS10" i="1"/>
  <c r="AT10" i="1" s="1"/>
  <c r="AS41" i="1"/>
  <c r="AT41" i="1" s="1"/>
  <c r="AS14" i="1"/>
  <c r="AT14" i="1" s="1"/>
  <c r="AS53" i="1"/>
  <c r="AT53" i="1" s="1"/>
  <c r="AS39" i="1"/>
  <c r="AT39" i="1" s="1"/>
  <c r="AS64" i="1"/>
  <c r="AT64" i="1" s="1"/>
  <c r="AS37" i="1"/>
  <c r="AT37" i="1" s="1"/>
  <c r="AS43" i="1"/>
  <c r="AT43" i="1" s="1"/>
  <c r="AS18" i="1"/>
  <c r="AT18" i="1" s="1"/>
  <c r="AS52" i="1"/>
  <c r="AT52" i="1" s="1"/>
  <c r="AS63" i="1"/>
  <c r="AT63" i="1" s="1"/>
  <c r="AS61" i="1"/>
  <c r="AT61" i="1" s="1"/>
  <c r="AS47" i="1"/>
  <c r="AT47" i="1" s="1"/>
  <c r="AS23" i="1"/>
  <c r="AT23" i="1" s="1"/>
  <c r="AS38" i="1"/>
  <c r="AT38" i="1" s="1"/>
  <c r="AS46" i="1"/>
  <c r="AT46" i="1" s="1"/>
  <c r="AS44" i="1"/>
  <c r="AT44" i="1" s="1"/>
  <c r="AS40" i="1"/>
  <c r="AT40" i="1" s="1"/>
  <c r="AS56" i="1"/>
  <c r="AT56" i="1" s="1"/>
  <c r="AS57" i="1"/>
  <c r="AT57" i="1" s="1"/>
  <c r="AS45" i="1"/>
  <c r="AT45" i="1" s="1"/>
  <c r="AS58" i="1"/>
  <c r="AT58" i="1" s="1"/>
  <c r="AS51" i="1"/>
  <c r="AT51" i="1" s="1"/>
  <c r="AS62" i="1"/>
  <c r="AT62" i="1" s="1"/>
  <c r="AS42" i="1"/>
  <c r="AT42" i="1" s="1"/>
  <c r="AS48" i="1"/>
  <c r="AT48" i="1" s="1"/>
  <c r="AS54" i="1"/>
  <c r="AT54" i="1" s="1"/>
  <c r="AS60" i="1"/>
  <c r="AT60" i="1" s="1"/>
  <c r="AS19" i="1"/>
  <c r="AT19" i="1" s="1"/>
  <c r="AS22" i="1"/>
  <c r="AT22" i="1" s="1"/>
  <c r="AS34" i="1"/>
  <c r="AT34" i="1" s="1"/>
  <c r="AS26" i="1"/>
  <c r="AT26" i="1" s="1"/>
  <c r="AS50" i="1"/>
  <c r="AT50" i="1" s="1"/>
  <c r="AS36" i="1"/>
  <c r="AT36" i="1" s="1"/>
  <c r="AY55" i="1"/>
  <c r="AZ55" i="1" s="1"/>
  <c r="AY53" i="1"/>
  <c r="AZ53" i="1" s="1"/>
  <c r="AY64" i="1"/>
  <c r="AZ64" i="1" s="1"/>
  <c r="AY41" i="1"/>
  <c r="AZ41" i="1" s="1"/>
  <c r="AY10" i="1"/>
  <c r="AZ10" i="1" s="1"/>
  <c r="AY35" i="1"/>
  <c r="AZ35" i="1" s="1"/>
  <c r="AY57" i="1"/>
  <c r="AZ57" i="1" s="1"/>
  <c r="AY49" i="1"/>
  <c r="AZ49" i="1" s="1"/>
  <c r="AY26" i="1"/>
  <c r="AZ26" i="1" s="1"/>
  <c r="AY22" i="1"/>
  <c r="AZ22" i="1" s="1"/>
  <c r="AY15" i="1"/>
  <c r="AZ15" i="1" s="1"/>
  <c r="AY34" i="1"/>
  <c r="AZ34" i="1" s="1"/>
  <c r="AY30" i="1"/>
  <c r="AZ30" i="1" s="1"/>
  <c r="AY18" i="1"/>
  <c r="AZ18" i="1" s="1"/>
  <c r="AY19" i="1"/>
  <c r="AZ19" i="1" s="1"/>
  <c r="AY16" i="1"/>
  <c r="AZ16" i="1" s="1"/>
  <c r="AY23" i="1"/>
  <c r="AZ23" i="1" s="1"/>
  <c r="AY33" i="1"/>
  <c r="AZ33" i="1" s="1"/>
  <c r="AY43" i="1"/>
  <c r="AZ43" i="1" s="1"/>
  <c r="AY45" i="1"/>
  <c r="AZ45" i="1" s="1"/>
  <c r="AY51" i="1"/>
  <c r="AZ51" i="1" s="1"/>
  <c r="AY31" i="1"/>
  <c r="AZ31" i="1" s="1"/>
  <c r="AY59" i="1"/>
  <c r="AZ59" i="1" s="1"/>
  <c r="AY29" i="1"/>
  <c r="AZ29" i="1" s="1"/>
  <c r="AY21" i="1"/>
  <c r="AZ21" i="1" s="1"/>
  <c r="AY32" i="1"/>
  <c r="AZ32" i="1" s="1"/>
  <c r="AY13" i="1"/>
  <c r="AZ13" i="1" s="1"/>
  <c r="AY24" i="1"/>
  <c r="AZ24" i="1" s="1"/>
  <c r="AY42" i="1"/>
  <c r="AZ42" i="1" s="1"/>
  <c r="AY61" i="1"/>
  <c r="AZ61" i="1" s="1"/>
  <c r="AY46" i="1"/>
  <c r="AZ46" i="1" s="1"/>
  <c r="AY17" i="1"/>
  <c r="AZ17" i="1" s="1"/>
  <c r="AY44" i="1"/>
  <c r="AZ44" i="1" s="1"/>
  <c r="AY65" i="1"/>
  <c r="AZ65" i="1" s="1"/>
  <c r="AY11" i="1"/>
  <c r="AZ11" i="1" s="1"/>
  <c r="AY36" i="1"/>
  <c r="AZ36" i="1" s="1"/>
  <c r="AY9" i="1"/>
  <c r="AZ9" i="1" s="1"/>
  <c r="AY52" i="1"/>
  <c r="AZ52" i="1" s="1"/>
  <c r="AY63" i="1"/>
  <c r="AZ63" i="1" s="1"/>
  <c r="AY27" i="1"/>
  <c r="AZ27" i="1" s="1"/>
  <c r="AY50" i="1"/>
  <c r="AZ50" i="1" s="1"/>
  <c r="AY56" i="1"/>
  <c r="AZ56" i="1" s="1"/>
  <c r="AY58" i="1"/>
  <c r="AZ58" i="1" s="1"/>
  <c r="AY38" i="1"/>
  <c r="AZ38" i="1" s="1"/>
  <c r="AY54" i="1"/>
  <c r="AZ54" i="1" s="1"/>
  <c r="AY8" i="1"/>
  <c r="AZ8" i="1" s="1"/>
  <c r="AY14" i="1"/>
  <c r="AZ14" i="1" s="1"/>
  <c r="AY20" i="1"/>
  <c r="AZ20" i="1" s="1"/>
  <c r="AY37" i="1"/>
  <c r="AZ37" i="1" s="1"/>
  <c r="AY25" i="1"/>
  <c r="AZ25" i="1" s="1"/>
  <c r="AY40" i="1"/>
  <c r="AZ40" i="1" s="1"/>
  <c r="AY7" i="1"/>
  <c r="AZ7" i="1" s="1"/>
  <c r="AY12" i="1"/>
  <c r="AZ12" i="1" s="1"/>
  <c r="AY47" i="1"/>
  <c r="AZ47" i="1" s="1"/>
  <c r="AY28" i="1"/>
  <c r="AZ28" i="1" s="1"/>
  <c r="AY39" i="1"/>
  <c r="AZ39" i="1" s="1"/>
  <c r="AY60" i="1"/>
  <c r="AZ60" i="1" s="1"/>
  <c r="AY48" i="1"/>
  <c r="AZ48" i="1" s="1"/>
  <c r="AY62" i="1"/>
  <c r="AZ62" i="1" s="1"/>
  <c r="AG65" i="1"/>
  <c r="AH65" i="1" s="1"/>
  <c r="AG63" i="1"/>
  <c r="AH63" i="1" s="1"/>
  <c r="AG56" i="1"/>
  <c r="AH56" i="1" s="1"/>
  <c r="AG33" i="1"/>
  <c r="AH33" i="1" s="1"/>
  <c r="AG29" i="1"/>
  <c r="AH29" i="1" s="1"/>
  <c r="AG25" i="1"/>
  <c r="AH25" i="1" s="1"/>
  <c r="AG21" i="1"/>
  <c r="AH21" i="1" s="1"/>
  <c r="AG12" i="1"/>
  <c r="AH12" i="1" s="1"/>
  <c r="AG8" i="1"/>
  <c r="AH8" i="1" s="1"/>
  <c r="AG20" i="1"/>
  <c r="AH20" i="1" s="1"/>
  <c r="AG13" i="1"/>
  <c r="AH13" i="1" s="1"/>
  <c r="AG32" i="1"/>
  <c r="AH32" i="1" s="1"/>
  <c r="AG28" i="1"/>
  <c r="AH28" i="1" s="1"/>
  <c r="AG9" i="1"/>
  <c r="AH9" i="1" s="1"/>
  <c r="AG17" i="1"/>
  <c r="AH17" i="1" s="1"/>
  <c r="AG24" i="1"/>
  <c r="AH24" i="1" s="1"/>
  <c r="AG16" i="1"/>
  <c r="AH16" i="1" s="1"/>
  <c r="AG19" i="1"/>
  <c r="AH19" i="1" s="1"/>
  <c r="AG27" i="1"/>
  <c r="AH27" i="1" s="1"/>
  <c r="AG34" i="1"/>
  <c r="AH34" i="1" s="1"/>
  <c r="AG47" i="1"/>
  <c r="AH47" i="1" s="1"/>
  <c r="AG57" i="1"/>
  <c r="AH57" i="1" s="1"/>
  <c r="AG59" i="1"/>
  <c r="AH59" i="1" s="1"/>
  <c r="AG51" i="1"/>
  <c r="AH51" i="1" s="1"/>
  <c r="AG30" i="1"/>
  <c r="AH30" i="1" s="1"/>
  <c r="AG40" i="1"/>
  <c r="AH40" i="1" s="1"/>
  <c r="AG11" i="1"/>
  <c r="AH11" i="1" s="1"/>
  <c r="AG36" i="1"/>
  <c r="AH36" i="1" s="1"/>
  <c r="AG41" i="1"/>
  <c r="AH41" i="1" s="1"/>
  <c r="AG48" i="1"/>
  <c r="AH48" i="1" s="1"/>
  <c r="AG7" i="1"/>
  <c r="AH7" i="1" s="1"/>
  <c r="AH70" i="1" s="1"/>
  <c r="AG15" i="1"/>
  <c r="AH15" i="1" s="1"/>
  <c r="AG31" i="1"/>
  <c r="AH31" i="1" s="1"/>
  <c r="AG35" i="1"/>
  <c r="AH35" i="1" s="1"/>
  <c r="AG42" i="1"/>
  <c r="AH42" i="1" s="1"/>
  <c r="AG53" i="1"/>
  <c r="AH53" i="1" s="1"/>
  <c r="AG18" i="1"/>
  <c r="AH18" i="1" s="1"/>
  <c r="AG52" i="1"/>
  <c r="AH52" i="1" s="1"/>
  <c r="AG60" i="1"/>
  <c r="AH60" i="1" s="1"/>
  <c r="AG26" i="1"/>
  <c r="AH26" i="1" s="1"/>
  <c r="AG61" i="1"/>
  <c r="AH61" i="1" s="1"/>
  <c r="AG14" i="1"/>
  <c r="AH14" i="1" s="1"/>
  <c r="AG50" i="1"/>
  <c r="AH50" i="1" s="1"/>
  <c r="AG44" i="1"/>
  <c r="AH44" i="1" s="1"/>
  <c r="AG54" i="1"/>
  <c r="AH54" i="1" s="1"/>
  <c r="AG39" i="1"/>
  <c r="AH39" i="1" s="1"/>
  <c r="AG46" i="1"/>
  <c r="AH46" i="1" s="1"/>
  <c r="AG55" i="1"/>
  <c r="AH55" i="1" s="1"/>
  <c r="AG10" i="1"/>
  <c r="AH10" i="1" s="1"/>
  <c r="AG22" i="1"/>
  <c r="AH22" i="1" s="1"/>
  <c r="AG38" i="1"/>
  <c r="AH38" i="1" s="1"/>
  <c r="AG58" i="1"/>
  <c r="AH58" i="1" s="1"/>
  <c r="AG23" i="1"/>
  <c r="AH23" i="1" s="1"/>
  <c r="AG45" i="1"/>
  <c r="AH45" i="1" s="1"/>
  <c r="AG64" i="1"/>
  <c r="AH64" i="1" s="1"/>
  <c r="AG43" i="1"/>
  <c r="AH43" i="1" s="1"/>
  <c r="AG37" i="1"/>
  <c r="AH37" i="1" s="1"/>
  <c r="AG49" i="1"/>
  <c r="AH49" i="1" s="1"/>
  <c r="AG62" i="1"/>
  <c r="AH62" i="1" s="1"/>
  <c r="P77" i="1"/>
  <c r="P73" i="1"/>
  <c r="P76" i="1"/>
  <c r="P72" i="1"/>
  <c r="P75" i="1"/>
  <c r="P74" i="1"/>
  <c r="P71" i="1"/>
  <c r="AY6" i="1"/>
  <c r="AZ6" i="1" s="1"/>
  <c r="AZ70" i="1" s="1"/>
  <c r="AQ70" i="1"/>
  <c r="AB70" i="1"/>
  <c r="AD60" i="1"/>
  <c r="AE60" i="1" s="1"/>
  <c r="AD64" i="1"/>
  <c r="AE64" i="1" s="1"/>
  <c r="AD65" i="1"/>
  <c r="AE65" i="1" s="1"/>
  <c r="AD59" i="1"/>
  <c r="AE59" i="1" s="1"/>
  <c r="AD22" i="1"/>
  <c r="AE22" i="1" s="1"/>
  <c r="AD39" i="1"/>
  <c r="AE39" i="1" s="1"/>
  <c r="AD18" i="1"/>
  <c r="AE18" i="1" s="1"/>
  <c r="AD47" i="1"/>
  <c r="AE47" i="1" s="1"/>
  <c r="AD34" i="1"/>
  <c r="AE34" i="1" s="1"/>
  <c r="AD16" i="1"/>
  <c r="AE16" i="1" s="1"/>
  <c r="AD30" i="1"/>
  <c r="AE30" i="1" s="1"/>
  <c r="AD12" i="1"/>
  <c r="AE12" i="1" s="1"/>
  <c r="AD13" i="1"/>
  <c r="AE13" i="1" s="1"/>
  <c r="AD21" i="1"/>
  <c r="AE21" i="1" s="1"/>
  <c r="AD20" i="1"/>
  <c r="AE20" i="1" s="1"/>
  <c r="AD42" i="1"/>
  <c r="AE42" i="1" s="1"/>
  <c r="AD46" i="1"/>
  <c r="AE46" i="1" s="1"/>
  <c r="AD38" i="1"/>
  <c r="AE38" i="1" s="1"/>
  <c r="AD52" i="1"/>
  <c r="AE52" i="1" s="1"/>
  <c r="AD53" i="1"/>
  <c r="AE53" i="1" s="1"/>
  <c r="AD25" i="1"/>
  <c r="AE25" i="1" s="1"/>
  <c r="AD9" i="1"/>
  <c r="AE9" i="1" s="1"/>
  <c r="AD41" i="1"/>
  <c r="AE41" i="1" s="1"/>
  <c r="AD55" i="1"/>
  <c r="AE55" i="1" s="1"/>
  <c r="AD56" i="1"/>
  <c r="AE56" i="1" s="1"/>
  <c r="AD14" i="1"/>
  <c r="AE14" i="1" s="1"/>
  <c r="AD15" i="1"/>
  <c r="AE15" i="1" s="1"/>
  <c r="AD33" i="1"/>
  <c r="AE33" i="1" s="1"/>
  <c r="AD62" i="1"/>
  <c r="AE62" i="1" s="1"/>
  <c r="AD40" i="1"/>
  <c r="AE40" i="1" s="1"/>
  <c r="AD44" i="1"/>
  <c r="AE44" i="1" s="1"/>
  <c r="AD61" i="1"/>
  <c r="AE61" i="1" s="1"/>
  <c r="AD7" i="1"/>
  <c r="AE7" i="1" s="1"/>
  <c r="AE70" i="1" s="1"/>
  <c r="AD35" i="1"/>
  <c r="AE35" i="1" s="1"/>
  <c r="AD10" i="1"/>
  <c r="AE10" i="1" s="1"/>
  <c r="AD26" i="1"/>
  <c r="AE26" i="1" s="1"/>
  <c r="AD31" i="1"/>
  <c r="AE31" i="1" s="1"/>
  <c r="AD24" i="1"/>
  <c r="AE24" i="1" s="1"/>
  <c r="AD45" i="1"/>
  <c r="AE45" i="1" s="1"/>
  <c r="AD32" i="1"/>
  <c r="AE32" i="1" s="1"/>
  <c r="AD48" i="1"/>
  <c r="AE48" i="1" s="1"/>
  <c r="AD57" i="1"/>
  <c r="AE57" i="1" s="1"/>
  <c r="AD58" i="1"/>
  <c r="AE58" i="1" s="1"/>
  <c r="AD19" i="1"/>
  <c r="AE19" i="1" s="1"/>
  <c r="AD8" i="1"/>
  <c r="AE8" i="1" s="1"/>
  <c r="AD11" i="1"/>
  <c r="AE11" i="1" s="1"/>
  <c r="AD27" i="1"/>
  <c r="AE27" i="1" s="1"/>
  <c r="AD50" i="1"/>
  <c r="AE50" i="1" s="1"/>
  <c r="AD29" i="1"/>
  <c r="AE29" i="1" s="1"/>
  <c r="AD54" i="1"/>
  <c r="AE54" i="1" s="1"/>
  <c r="AD23" i="1"/>
  <c r="AE23" i="1" s="1"/>
  <c r="AD63" i="1"/>
  <c r="AE63" i="1" s="1"/>
  <c r="AD28" i="1"/>
  <c r="AE28" i="1" s="1"/>
  <c r="AD37" i="1"/>
  <c r="AE37" i="1" s="1"/>
  <c r="AD43" i="1"/>
  <c r="AE43" i="1" s="1"/>
  <c r="AD49" i="1"/>
  <c r="AE49" i="1" s="1"/>
  <c r="AD17" i="1"/>
  <c r="AE17" i="1" s="1"/>
  <c r="AD51" i="1"/>
  <c r="AE51" i="1" s="1"/>
  <c r="AD36" i="1"/>
  <c r="AE36" i="1" s="1"/>
  <c r="U76" i="1"/>
  <c r="U72" i="1"/>
  <c r="U75" i="1"/>
  <c r="U71" i="1"/>
  <c r="U77" i="1"/>
  <c r="U73" i="1"/>
  <c r="U74" i="1"/>
  <c r="AJ6" i="1"/>
  <c r="AK6" i="1" s="1"/>
  <c r="AV6" i="1"/>
  <c r="AW6" i="1" s="1"/>
  <c r="N66" i="2"/>
  <c r="N76" i="2" s="1"/>
  <c r="Q66" i="2"/>
  <c r="Q77" i="2" s="1"/>
  <c r="Q76" i="2"/>
  <c r="K66" i="2"/>
  <c r="AC66" i="2"/>
  <c r="T66" i="2"/>
  <c r="E66" i="2"/>
  <c r="W66" i="2"/>
  <c r="Z66" i="2"/>
  <c r="H66" i="2"/>
  <c r="AH73" i="1" l="1"/>
  <c r="AH72" i="1"/>
  <c r="AE73" i="1"/>
  <c r="AE72" i="1"/>
  <c r="AT73" i="1"/>
  <c r="AT72" i="1"/>
  <c r="AN73" i="1"/>
  <c r="AN72" i="1"/>
  <c r="AZ72" i="1"/>
  <c r="AZ73" i="1"/>
  <c r="AW70" i="1"/>
  <c r="AB73" i="1"/>
  <c r="AB72" i="1"/>
  <c r="AK70" i="1"/>
  <c r="AQ73" i="1"/>
  <c r="AQ72" i="1"/>
  <c r="N77" i="2"/>
  <c r="T76" i="2"/>
  <c r="T77" i="2"/>
  <c r="AC77" i="2"/>
  <c r="AC76" i="2"/>
  <c r="W77" i="2"/>
  <c r="W76" i="2"/>
  <c r="K77" i="2"/>
  <c r="K76" i="2"/>
  <c r="E77" i="2"/>
  <c r="E76" i="2"/>
  <c r="H76" i="2"/>
  <c r="H77" i="2"/>
  <c r="Z76" i="2"/>
  <c r="Z77" i="2"/>
  <c r="AK72" i="1" l="1"/>
  <c r="AK73" i="1"/>
  <c r="AW72" i="1"/>
  <c r="AW73" i="1"/>
</calcChain>
</file>

<file path=xl/sharedStrings.xml><?xml version="1.0" encoding="utf-8"?>
<sst xmlns="http://schemas.openxmlformats.org/spreadsheetml/2006/main" count="471" uniqueCount="173">
  <si>
    <t>Year</t>
  </si>
  <si>
    <t>5 min</t>
  </si>
  <si>
    <t>10 min</t>
  </si>
  <si>
    <t>15 min</t>
  </si>
  <si>
    <t>30 min</t>
  </si>
  <si>
    <t>1 hr</t>
  </si>
  <si>
    <t>2 hr</t>
  </si>
  <si>
    <t>6 hr</t>
  </si>
  <si>
    <t>12 hr</t>
  </si>
  <si>
    <t>24 hr</t>
  </si>
  <si>
    <t>Rainfall (mm)</t>
  </si>
  <si>
    <t>Intensity (mm/hr)</t>
  </si>
  <si>
    <t>Mean</t>
  </si>
  <si>
    <t>Std. Dev.</t>
  </si>
  <si>
    <t>a</t>
  </si>
  <si>
    <t>b</t>
  </si>
  <si>
    <t>t</t>
  </si>
  <si>
    <t>Gumbel Parameters</t>
  </si>
  <si>
    <t>Q = b-a[ln[ln(T/(T-1))]]</t>
  </si>
  <si>
    <r>
      <t>a=(</t>
    </r>
    <r>
      <rPr>
        <sz val="11"/>
        <color rgb="FF006100"/>
        <rFont val="Symbol"/>
        <family val="1"/>
        <charset val="2"/>
      </rPr>
      <t>s</t>
    </r>
    <r>
      <rPr>
        <vertAlign val="subscript"/>
        <sz val="11"/>
        <color rgb="FF006100"/>
        <rFont val="Calibri"/>
        <family val="2"/>
      </rPr>
      <t>x</t>
    </r>
    <r>
      <rPr>
        <sz val="11"/>
        <color rgb="FF006100"/>
        <rFont val="Calibri"/>
        <family val="2"/>
        <scheme val="minor"/>
      </rPr>
      <t>)/1.2825</t>
    </r>
  </si>
  <si>
    <r>
      <t>b=(</t>
    </r>
    <r>
      <rPr>
        <sz val="11"/>
        <color rgb="FF006100"/>
        <rFont val="Calibri"/>
        <family val="2"/>
      </rPr>
      <t>µ</t>
    </r>
    <r>
      <rPr>
        <vertAlign val="subscript"/>
        <sz val="11"/>
        <color rgb="FF006100"/>
        <rFont val="Calibri"/>
        <family val="2"/>
      </rPr>
      <t>x</t>
    </r>
    <r>
      <rPr>
        <sz val="11"/>
        <color rgb="FF006100"/>
        <rFont val="Calibri"/>
        <family val="2"/>
        <scheme val="minor"/>
      </rPr>
      <t>)-(0.5772*a)</t>
    </r>
  </si>
  <si>
    <t>2 years</t>
  </si>
  <si>
    <t>5 years</t>
  </si>
  <si>
    <t>10 years</t>
  </si>
  <si>
    <t>25 years</t>
  </si>
  <si>
    <t>50 years</t>
  </si>
  <si>
    <t xml:space="preserve"> 75 years</t>
  </si>
  <si>
    <t>100 years</t>
  </si>
  <si>
    <t>Gumbel pdf</t>
  </si>
  <si>
    <r>
      <t>f(x) = (</t>
    </r>
    <r>
      <rPr>
        <sz val="16"/>
        <color theme="1"/>
        <rFont val="Calibri"/>
        <family val="2"/>
        <scheme val="minor"/>
      </rPr>
      <t>1/a)*e</t>
    </r>
    <r>
      <rPr>
        <vertAlign val="superscript"/>
        <sz val="16"/>
        <color theme="1"/>
        <rFont val="Calibri"/>
        <family val="2"/>
        <scheme val="minor"/>
      </rPr>
      <t>-t</t>
    </r>
    <r>
      <rPr>
        <b/>
        <sz val="16"/>
        <color theme="1"/>
        <rFont val="Calibri"/>
        <family val="2"/>
        <scheme val="minor"/>
      </rPr>
      <t>*e</t>
    </r>
    <r>
      <rPr>
        <b/>
        <vertAlign val="superscript"/>
        <sz val="16"/>
        <color theme="1"/>
        <rFont val="Calibri"/>
        <family val="2"/>
        <scheme val="minor"/>
      </rPr>
      <t>-e-t</t>
    </r>
  </si>
  <si>
    <t>τ</t>
  </si>
  <si>
    <t>L</t>
  </si>
  <si>
    <t>No. of parameters = 2</t>
  </si>
  <si>
    <t>AIC</t>
  </si>
  <si>
    <t>BIC</t>
  </si>
  <si>
    <t>5min
a = 11.51505
b = 19.09951</t>
  </si>
  <si>
    <t>Rainfall</t>
  </si>
  <si>
    <t>f(xi)</t>
  </si>
  <si>
    <t>Rainfall Intensity</t>
  </si>
  <si>
    <t>10min
a = 7.38115
b = 19.6776</t>
  </si>
  <si>
    <t>15min
a = 7.545268
b = 18.5682</t>
  </si>
  <si>
    <t>30min
a = 5.662
b = 16.951</t>
  </si>
  <si>
    <t>1 hr
a = 3.77228
b = 15.79564</t>
  </si>
  <si>
    <t>2 hr
a = 2.717634
b = 14.58413</t>
  </si>
  <si>
    <t>6 hr
a = 1.348314
b = 6.177642</t>
  </si>
  <si>
    <t>12 hr
a = 0.856619
b = 4.065837</t>
  </si>
  <si>
    <t>24 hr
a = 0.856448
b = 3.143533</t>
  </si>
  <si>
    <t>ln(x)</t>
  </si>
  <si>
    <t>x1 (Duration)</t>
  </si>
  <si>
    <t>y1 (Intensity)</t>
  </si>
  <si>
    <t>z1 (Return period)</t>
  </si>
  <si>
    <t>k</t>
  </si>
  <si>
    <t>n</t>
  </si>
  <si>
    <t>Fitting Log-Normal Distribution Curve</t>
  </si>
  <si>
    <t xml:space="preserve"> </t>
  </si>
  <si>
    <t>Sewer</t>
  </si>
  <si>
    <t>Directly drained or contributin upstream sewer</t>
  </si>
  <si>
    <t>Area Aj (km^2)</t>
  </si>
  <si>
    <t>Runoff Coefficient (Cj)</t>
  </si>
  <si>
    <t>Cj*Aj</t>
  </si>
  <si>
    <t>Inlet Time (min)</t>
  </si>
  <si>
    <t>Upstream Sewer Flow Time (min)</t>
  </si>
  <si>
    <t>Design Rain Duration tD (min)</t>
  </si>
  <si>
    <t>Design Rain Intensity (mm/hr)</t>
  </si>
  <si>
    <t>Time of Concentration tc (min)</t>
  </si>
  <si>
    <t>∑Cj*Aj</t>
  </si>
  <si>
    <t>III</t>
  </si>
  <si>
    <t>IV</t>
  </si>
  <si>
    <t>V</t>
  </si>
  <si>
    <t>11 to 21</t>
  </si>
  <si>
    <t>21 to 31</t>
  </si>
  <si>
    <t>31 to 41</t>
  </si>
  <si>
    <t>23 to 31</t>
  </si>
  <si>
    <t>41 to 51</t>
  </si>
  <si>
    <t>44 to 41</t>
  </si>
  <si>
    <t>54 to 41</t>
  </si>
  <si>
    <t>I</t>
  </si>
  <si>
    <t>II</t>
  </si>
  <si>
    <t xml:space="preserve">Residential </t>
  </si>
  <si>
    <t>Lawn</t>
  </si>
  <si>
    <t xml:space="preserve">Paved </t>
  </si>
  <si>
    <t>Surface</t>
  </si>
  <si>
    <t xml:space="preserve">Run-off coefficient </t>
  </si>
  <si>
    <t>Region</t>
  </si>
  <si>
    <t>Land use %</t>
  </si>
  <si>
    <t>C</t>
  </si>
  <si>
    <t>Q</t>
  </si>
  <si>
    <t>tc</t>
  </si>
  <si>
    <t>time of concentration</t>
  </si>
  <si>
    <t xml:space="preserve">Region </t>
  </si>
  <si>
    <t>Gumbel</t>
  </si>
  <si>
    <t>LogNormal</t>
  </si>
  <si>
    <t>Log Normal</t>
  </si>
  <si>
    <t>c</t>
  </si>
  <si>
    <t>Basin</t>
  </si>
  <si>
    <t>Area of the basin</t>
  </si>
  <si>
    <t>(Hectares)</t>
  </si>
  <si>
    <t>Division of basin area (%)</t>
  </si>
  <si>
    <t>Drainage Length</t>
  </si>
  <si>
    <t>(m)</t>
  </si>
  <si>
    <t>Slope of the basin</t>
  </si>
  <si>
    <t>Manning’s coefficient for basin</t>
  </si>
  <si>
    <t>Residential</t>
  </si>
  <si>
    <t>Lawn and open space</t>
  </si>
  <si>
    <t>Paved street roads</t>
  </si>
  <si>
    <t>X</t>
  </si>
  <si>
    <t>y</t>
  </si>
  <si>
    <t>i</t>
  </si>
  <si>
    <t>(t+17.2111)^0.20529</t>
  </si>
  <si>
    <t>X*Y</t>
  </si>
  <si>
    <t xml:space="preserve">Sewer </t>
  </si>
  <si>
    <t>Upstream manhole ground elevation (m)</t>
  </si>
  <si>
    <t>Length L (m)</t>
  </si>
  <si>
    <t>Slope S</t>
  </si>
  <si>
    <t>Design Discharge Qp, m^3/s</t>
  </si>
  <si>
    <t>Flow Velocity V (m/s)</t>
  </si>
  <si>
    <t>Sewer Flow Time (min)</t>
  </si>
  <si>
    <t>Upstream Crown Elevation (m)</t>
  </si>
  <si>
    <t>Upstream Invert Elevation (m)</t>
  </si>
  <si>
    <t>Downstream Crown Elevation (m)</t>
  </si>
  <si>
    <t>Downstream Invert Elevation (m)</t>
  </si>
  <si>
    <t>-</t>
  </si>
  <si>
    <t>S*L (m)</t>
  </si>
  <si>
    <t>DOWNSTREAM LOW</t>
  </si>
  <si>
    <t>UPSTREAM UP</t>
  </si>
  <si>
    <t>Catchment</t>
  </si>
  <si>
    <t>Required Diameter/8 (m)</t>
  </si>
  <si>
    <t>Provided Diameter (m)</t>
  </si>
  <si>
    <t>Required Depth</t>
  </si>
  <si>
    <t>Spread</t>
  </si>
  <si>
    <t>Depth provided (required+free board)</t>
  </si>
  <si>
    <t>Gutter Flow Time (min)</t>
  </si>
  <si>
    <t xml:space="preserve">Curb Opening Inlet </t>
  </si>
  <si>
    <t>L-t (m)</t>
  </si>
  <si>
    <t>Gutter</t>
  </si>
  <si>
    <t>T (year) /D (min)</t>
  </si>
  <si>
    <t xml:space="preserve">MIN </t>
  </si>
  <si>
    <t xml:space="preserve">BEST FIT </t>
  </si>
  <si>
    <t>D (hours)</t>
  </si>
  <si>
    <t xml:space="preserve">Gutter </t>
  </si>
  <si>
    <t>Upstream curb top Elevation (m)</t>
  </si>
  <si>
    <t>Upstream gutter bottom Elevation (m)</t>
  </si>
  <si>
    <t>Downstream curb top Elevation (m)</t>
  </si>
  <si>
    <t>Downstream gutter bottom Elevation (m)</t>
  </si>
  <si>
    <t>Duration (hr)</t>
  </si>
  <si>
    <t>Cumulative Depth (mm)</t>
  </si>
  <si>
    <t>Incremental Depth (mm)</t>
  </si>
  <si>
    <t>Sorted</t>
  </si>
  <si>
    <t>Time (hr)</t>
  </si>
  <si>
    <t>Precipitation (mm)</t>
  </si>
  <si>
    <t>0 - 0.1333</t>
  </si>
  <si>
    <t>0.1333 - 0.2667</t>
  </si>
  <si>
    <t>0.2667-0.4000</t>
  </si>
  <si>
    <t>0.4000-0.5333</t>
  </si>
  <si>
    <t>0.5333-0.6667</t>
  </si>
  <si>
    <t>0.6667-0.8000</t>
  </si>
  <si>
    <t>0.8000-0.9333</t>
  </si>
  <si>
    <t>0.9333-1.0667</t>
  </si>
  <si>
    <t>1.0667-1.2000</t>
  </si>
  <si>
    <t>1.2000-1.3333</t>
  </si>
  <si>
    <t>1.3333-1.4667</t>
  </si>
  <si>
    <t>1.4667-1.6000</t>
  </si>
  <si>
    <t>1.6000-1.7333</t>
  </si>
  <si>
    <t>1.7333-1.8667</t>
  </si>
  <si>
    <t>1.8667-2.0000</t>
  </si>
  <si>
    <t>Total rainfall</t>
  </si>
  <si>
    <t xml:space="preserve">total time </t>
  </si>
  <si>
    <t>2hr</t>
  </si>
  <si>
    <t>intensity (mm/h) =</t>
  </si>
  <si>
    <t>Only checking for 21-31. For others design intensity&gt;intensity of storm</t>
  </si>
  <si>
    <t>on manhole 21</t>
  </si>
  <si>
    <t>Q=</t>
  </si>
  <si>
    <t>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</si>
</sst>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"/>
    <numFmt numFmtId="166" formatCode="0.00000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Symbol"/>
      <family val="1"/>
      <charset val="2"/>
    </font>
    <font>
      <vertAlign val="subscript"/>
      <sz val="11"/>
      <color rgb="FF006100"/>
      <name val="Calibri"/>
      <family val="2"/>
    </font>
    <font>
      <sz val="11"/>
      <color rgb="FF006100"/>
      <name val="Calibri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vertAlign val="superscript"/>
      <sz val="16"/>
      <color theme="1"/>
      <name val="Calibri"/>
      <family val="2"/>
      <scheme val="minor"/>
    </font>
    <font>
      <b/>
      <vertAlign val="superscript"/>
      <sz val="16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4"/>
      <color theme="1"/>
      <name val="Times New Roman"/>
      <family val="1"/>
    </font>
    <font>
      <b/>
      <sz val="16"/>
      <color theme="1"/>
      <name val="Times New Roman"/>
      <family val="1"/>
    </font>
    <font>
      <sz val="10"/>
      <color rgb="FF000000"/>
      <name val="Arial"/>
      <family val="2"/>
    </font>
    <font>
      <sz val="8"/>
      <color theme="1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</fills>
  <borders count="4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4">
    <xf numFmtId="0" fontId="0" fillId="0" borderId="0" xfId="0"/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/>
    </xf>
    <xf numFmtId="164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vertical="center"/>
    </xf>
    <xf numFmtId="0" fontId="26" fillId="0" borderId="0" xfId="0" applyFont="1"/>
    <xf numFmtId="0" fontId="21" fillId="0" borderId="0" xfId="0" applyFont="1"/>
    <xf numFmtId="0" fontId="16" fillId="20" borderId="10" xfId="29" applyFont="1" applyBorder="1" applyAlignment="1">
      <alignment horizontal="center"/>
    </xf>
    <xf numFmtId="0" fontId="16" fillId="19" borderId="10" xfId="28" applyFont="1" applyBorder="1" applyAlignment="1">
      <alignment vertical="center"/>
    </xf>
    <xf numFmtId="165" fontId="1" fillId="23" borderId="10" xfId="32" applyNumberFormat="1" applyBorder="1" applyAlignment="1">
      <alignment horizontal="right" vertical="center"/>
    </xf>
    <xf numFmtId="165" fontId="1" fillId="23" borderId="10" xfId="32" applyNumberFormat="1" applyBorder="1" applyAlignment="1">
      <alignment horizontal="right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16" fillId="0" borderId="13" xfId="0" applyFont="1" applyBorder="1" applyAlignment="1">
      <alignment horizontal="center" vertical="center"/>
    </xf>
    <xf numFmtId="165" fontId="0" fillId="0" borderId="0" xfId="0" applyNumberFormat="1" applyAlignment="1">
      <alignment horizontal="right"/>
    </xf>
    <xf numFmtId="0" fontId="16" fillId="0" borderId="12" xfId="0" applyFont="1" applyBorder="1" applyAlignment="1">
      <alignment horizontal="center" vertical="center"/>
    </xf>
    <xf numFmtId="0" fontId="16" fillId="19" borderId="21" xfId="28" applyFont="1" applyBorder="1" applyAlignment="1">
      <alignment vertical="center"/>
    </xf>
    <xf numFmtId="0" fontId="16" fillId="0" borderId="22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 vertical="center"/>
    </xf>
    <xf numFmtId="0" fontId="0" fillId="0" borderId="23" xfId="0" applyBorder="1"/>
    <xf numFmtId="0" fontId="16" fillId="0" borderId="23" xfId="0" applyFont="1" applyBorder="1" applyAlignment="1">
      <alignment horizontal="center"/>
    </xf>
    <xf numFmtId="0" fontId="16" fillId="19" borderId="24" xfId="28" applyFont="1" applyBorder="1" applyAlignment="1">
      <alignment horizontal="center" vertical="center"/>
    </xf>
    <xf numFmtId="0" fontId="0" fillId="0" borderId="25" xfId="0" applyBorder="1"/>
    <xf numFmtId="0" fontId="16" fillId="0" borderId="25" xfId="0" applyFont="1" applyBorder="1" applyAlignment="1">
      <alignment horizontal="center" vertical="center"/>
    </xf>
    <xf numFmtId="0" fontId="16" fillId="19" borderId="26" xfId="28" applyFont="1" applyBorder="1" applyAlignment="1">
      <alignment vertical="center"/>
    </xf>
    <xf numFmtId="0" fontId="0" fillId="0" borderId="13" xfId="0" applyBorder="1"/>
    <xf numFmtId="165" fontId="1" fillId="33" borderId="10" xfId="20" applyNumberFormat="1" applyFill="1" applyBorder="1" applyAlignment="1">
      <alignment horizontal="right"/>
    </xf>
    <xf numFmtId="165" fontId="1" fillId="33" borderId="10" xfId="20" applyNumberFormat="1" applyFill="1" applyBorder="1" applyAlignment="1">
      <alignment horizontal="right" vertical="center"/>
    </xf>
    <xf numFmtId="165" fontId="1" fillId="33" borderId="29" xfId="20" applyNumberFormat="1" applyFill="1" applyBorder="1" applyAlignment="1">
      <alignment horizontal="right"/>
    </xf>
    <xf numFmtId="165" fontId="1" fillId="23" borderId="29" xfId="32" applyNumberFormat="1" applyBorder="1" applyAlignment="1">
      <alignment horizontal="right"/>
    </xf>
    <xf numFmtId="0" fontId="16" fillId="0" borderId="11" xfId="0" applyFont="1" applyBorder="1" applyAlignment="1">
      <alignment horizontal="center" vertical="center"/>
    </xf>
    <xf numFmtId="0" fontId="0" fillId="0" borderId="30" xfId="0" applyBorder="1"/>
    <xf numFmtId="0" fontId="1" fillId="33" borderId="32" xfId="20" applyFill="1" applyBorder="1"/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166" fontId="0" fillId="0" borderId="17" xfId="0" applyNumberFormat="1" applyBorder="1" applyAlignment="1">
      <alignment horizontal="center"/>
    </xf>
    <xf numFmtId="166" fontId="0" fillId="0" borderId="18" xfId="0" applyNumberFormat="1" applyBorder="1" applyAlignment="1">
      <alignment horizontal="center"/>
    </xf>
    <xf numFmtId="166" fontId="0" fillId="0" borderId="19" xfId="0" applyNumberFormat="1" applyBorder="1" applyAlignment="1">
      <alignment horizontal="center"/>
    </xf>
    <xf numFmtId="0" fontId="0" fillId="0" borderId="34" xfId="0" applyBorder="1"/>
    <xf numFmtId="165" fontId="0" fillId="0" borderId="16" xfId="0" applyNumberFormat="1" applyBorder="1" applyAlignment="1">
      <alignment horizontal="right"/>
    </xf>
    <xf numFmtId="0" fontId="16" fillId="19" borderId="20" xfId="28" applyFont="1" applyBorder="1" applyAlignment="1">
      <alignment vertical="center"/>
    </xf>
    <xf numFmtId="0" fontId="1" fillId="23" borderId="32" xfId="32" applyBorder="1"/>
    <xf numFmtId="165" fontId="0" fillId="0" borderId="15" xfId="0" applyNumberFormat="1" applyBorder="1" applyAlignment="1">
      <alignment horizontal="right"/>
    </xf>
    <xf numFmtId="0" fontId="16" fillId="34" borderId="10" xfId="36" applyFont="1" applyFill="1" applyBorder="1" applyAlignment="1">
      <alignment horizontal="center" vertical="center" wrapText="1"/>
    </xf>
    <xf numFmtId="0" fontId="1" fillId="34" borderId="10" xfId="35" applyFill="1" applyBorder="1"/>
    <xf numFmtId="0" fontId="16" fillId="34" borderId="10" xfId="25" applyFont="1" applyFill="1" applyBorder="1" applyAlignment="1">
      <alignment horizontal="center" vertical="center" wrapText="1"/>
    </xf>
    <xf numFmtId="0" fontId="1" fillId="34" borderId="10" xfId="24" applyFill="1" applyBorder="1"/>
    <xf numFmtId="0" fontId="1" fillId="34" borderId="10" xfId="19" applyFill="1" applyBorder="1"/>
    <xf numFmtId="0" fontId="0" fillId="0" borderId="12" xfId="0" applyBorder="1"/>
    <xf numFmtId="0" fontId="16" fillId="34" borderId="26" xfId="36" applyFont="1" applyFill="1" applyBorder="1" applyAlignment="1">
      <alignment horizontal="center" vertical="center" wrapText="1"/>
    </xf>
    <xf numFmtId="0" fontId="1" fillId="34" borderId="26" xfId="35" applyFill="1" applyBorder="1"/>
    <xf numFmtId="0" fontId="16" fillId="20" borderId="26" xfId="29" applyFont="1" applyBorder="1" applyAlignment="1">
      <alignment horizontal="center"/>
    </xf>
    <xf numFmtId="0" fontId="16" fillId="34" borderId="21" xfId="36" applyFont="1" applyFill="1" applyBorder="1" applyAlignment="1">
      <alignment horizontal="center" vertical="center" wrapText="1"/>
    </xf>
    <xf numFmtId="0" fontId="1" fillId="34" borderId="21" xfId="35" applyFill="1" applyBorder="1" applyAlignment="1">
      <alignment horizontal="center" vertical="center"/>
    </xf>
    <xf numFmtId="0" fontId="16" fillId="20" borderId="21" xfId="29" applyFont="1" applyBorder="1" applyAlignment="1">
      <alignment horizontal="center"/>
    </xf>
    <xf numFmtId="0" fontId="0" fillId="0" borderId="22" xfId="0" applyBorder="1"/>
    <xf numFmtId="0" fontId="16" fillId="20" borderId="24" xfId="29" applyFont="1" applyBorder="1" applyAlignment="1">
      <alignment horizontal="center" vertical="center"/>
    </xf>
    <xf numFmtId="0" fontId="16" fillId="34" borderId="20" xfId="36" applyFont="1" applyFill="1" applyBorder="1" applyAlignment="1">
      <alignment horizontal="center" vertical="center" wrapText="1"/>
    </xf>
    <xf numFmtId="0" fontId="1" fillId="34" borderId="20" xfId="35" applyFill="1" applyBorder="1" applyAlignment="1">
      <alignment horizontal="center" vertical="center"/>
    </xf>
    <xf numFmtId="0" fontId="16" fillId="20" borderId="20" xfId="29" applyFont="1" applyBorder="1" applyAlignment="1">
      <alignment horizontal="center"/>
    </xf>
    <xf numFmtId="0" fontId="16" fillId="34" borderId="20" xfId="25" applyFont="1" applyFill="1" applyBorder="1" applyAlignment="1">
      <alignment horizontal="center" vertical="center" wrapText="1"/>
    </xf>
    <xf numFmtId="0" fontId="16" fillId="34" borderId="26" xfId="25" applyFont="1" applyFill="1" applyBorder="1" applyAlignment="1">
      <alignment horizontal="center" vertical="center" wrapText="1"/>
    </xf>
    <xf numFmtId="0" fontId="1" fillId="34" borderId="20" xfId="24" applyFill="1" applyBorder="1" applyAlignment="1">
      <alignment horizontal="center" vertical="center"/>
    </xf>
    <xf numFmtId="0" fontId="1" fillId="34" borderId="26" xfId="24" applyFill="1" applyBorder="1"/>
    <xf numFmtId="0" fontId="1" fillId="34" borderId="20" xfId="19" applyFill="1" applyBorder="1" applyAlignment="1">
      <alignment horizontal="center" vertical="center"/>
    </xf>
    <xf numFmtId="0" fontId="1" fillId="34" borderId="26" xfId="19" applyFill="1" applyBorder="1"/>
    <xf numFmtId="0" fontId="1" fillId="34" borderId="20" xfId="24" applyFill="1" applyBorder="1" applyAlignment="1">
      <alignment horizontal="center" vertical="center" wrapText="1"/>
    </xf>
    <xf numFmtId="0" fontId="0" fillId="0" borderId="14" xfId="0" applyBorder="1"/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165" fontId="0" fillId="0" borderId="16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165" fontId="0" fillId="0" borderId="19" xfId="0" applyNumberFormat="1" applyBorder="1" applyAlignment="1">
      <alignment horizontal="center"/>
    </xf>
    <xf numFmtId="165" fontId="0" fillId="0" borderId="17" xfId="0" applyNumberFormat="1" applyBorder="1" applyAlignment="1">
      <alignment horizontal="center"/>
    </xf>
    <xf numFmtId="0" fontId="26" fillId="0" borderId="19" xfId="0" applyFont="1" applyBorder="1" applyAlignment="1">
      <alignment horizontal="center" vertical="center" wrapText="1"/>
    </xf>
    <xf numFmtId="0" fontId="27" fillId="0" borderId="19" xfId="0" applyFont="1" applyBorder="1" applyAlignment="1">
      <alignment vertical="center" wrapText="1"/>
    </xf>
    <xf numFmtId="0" fontId="28" fillId="0" borderId="0" xfId="0" applyFont="1" applyAlignment="1">
      <alignment vertical="center"/>
    </xf>
    <xf numFmtId="0" fontId="26" fillId="0" borderId="11" xfId="0" applyFont="1" applyBorder="1" applyAlignment="1">
      <alignment horizontal="center" vertical="center" wrapText="1"/>
    </xf>
    <xf numFmtId="0" fontId="29" fillId="0" borderId="0" xfId="0" applyFont="1"/>
    <xf numFmtId="0" fontId="29" fillId="0" borderId="37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0" fontId="0" fillId="0" borderId="10" xfId="0" applyBorder="1" applyAlignment="1">
      <alignment horizontal="right"/>
    </xf>
    <xf numFmtId="0" fontId="0" fillId="0" borderId="10" xfId="0" applyBorder="1"/>
    <xf numFmtId="0" fontId="29" fillId="0" borderId="10" xfId="0" applyFont="1" applyBorder="1" applyAlignment="1">
      <alignment horizontal="right" vertical="center"/>
    </xf>
    <xf numFmtId="0" fontId="0" fillId="0" borderId="10" xfId="0" applyBorder="1" applyAlignment="1">
      <alignment horizontal="right" vertical="center"/>
    </xf>
    <xf numFmtId="0" fontId="0" fillId="0" borderId="20" xfId="0" applyBorder="1" applyAlignment="1">
      <alignment horizontal="right"/>
    </xf>
    <xf numFmtId="0" fontId="0" fillId="0" borderId="26" xfId="0" applyBorder="1" applyAlignment="1">
      <alignment horizontal="right" vertical="center"/>
    </xf>
    <xf numFmtId="0" fontId="0" fillId="0" borderId="26" xfId="0" applyBorder="1"/>
    <xf numFmtId="0" fontId="0" fillId="0" borderId="20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36" borderId="10" xfId="0" applyFill="1" applyBorder="1"/>
    <xf numFmtId="0" fontId="0" fillId="35" borderId="10" xfId="0" applyFill="1" applyBorder="1"/>
    <xf numFmtId="0" fontId="0" fillId="34" borderId="10" xfId="0" applyFill="1" applyBorder="1"/>
    <xf numFmtId="0" fontId="0" fillId="35" borderId="26" xfId="0" applyFill="1" applyBorder="1"/>
    <xf numFmtId="0" fontId="0" fillId="0" borderId="20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29" fillId="0" borderId="39" xfId="0" applyFont="1" applyBorder="1" applyAlignment="1">
      <alignment horizontal="right" vertical="center"/>
    </xf>
    <xf numFmtId="0" fontId="0" fillId="0" borderId="39" xfId="0" applyBorder="1" applyAlignment="1">
      <alignment horizontal="right" vertical="center"/>
    </xf>
    <xf numFmtId="0" fontId="0" fillId="0" borderId="41" xfId="0" applyBorder="1" applyAlignment="1">
      <alignment horizontal="right"/>
    </xf>
    <xf numFmtId="0" fontId="0" fillId="0" borderId="29" xfId="0" applyBorder="1" applyAlignment="1">
      <alignment horizontal="right"/>
    </xf>
    <xf numFmtId="0" fontId="0" fillId="0" borderId="29" xfId="0" applyBorder="1"/>
    <xf numFmtId="0" fontId="29" fillId="0" borderId="29" xfId="0" applyFont="1" applyBorder="1" applyAlignment="1">
      <alignment horizontal="right" vertical="center"/>
    </xf>
    <xf numFmtId="0" fontId="0" fillId="0" borderId="42" xfId="0" applyBorder="1" applyAlignment="1">
      <alignment horizontal="right" vertical="center"/>
    </xf>
    <xf numFmtId="0" fontId="16" fillId="0" borderId="43" xfId="0" applyFont="1" applyBorder="1" applyAlignment="1">
      <alignment horizontal="center" vertical="center"/>
    </xf>
    <xf numFmtId="0" fontId="16" fillId="0" borderId="31" xfId="0" applyFont="1" applyBorder="1" applyAlignment="1">
      <alignment horizontal="center" vertical="center" wrapText="1"/>
    </xf>
    <xf numFmtId="0" fontId="16" fillId="0" borderId="32" xfId="0" applyFont="1" applyBorder="1" applyAlignment="1">
      <alignment horizontal="center" vertical="center" wrapText="1"/>
    </xf>
    <xf numFmtId="0" fontId="0" fillId="0" borderId="41" xfId="0" applyBorder="1"/>
    <xf numFmtId="0" fontId="0" fillId="36" borderId="42" xfId="0" applyFill="1" applyBorder="1"/>
    <xf numFmtId="0" fontId="16" fillId="0" borderId="43" xfId="0" applyFont="1" applyBorder="1" applyAlignment="1">
      <alignment horizontal="center" vertical="center" wrapText="1"/>
    </xf>
    <xf numFmtId="0" fontId="0" fillId="0" borderId="41" xfId="0" applyBorder="1" applyAlignment="1">
      <alignment horizontal="center" vertical="center"/>
    </xf>
    <xf numFmtId="0" fontId="0" fillId="0" borderId="29" xfId="0" applyBorder="1" applyAlignment="1">
      <alignment horizontal="right" vertical="center"/>
    </xf>
    <xf numFmtId="0" fontId="0" fillId="0" borderId="42" xfId="0" applyBorder="1"/>
    <xf numFmtId="0" fontId="0" fillId="0" borderId="43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0" fillId="0" borderId="28" xfId="0" applyBorder="1"/>
    <xf numFmtId="0" fontId="16" fillId="0" borderId="36" xfId="0" applyFont="1" applyBorder="1"/>
    <xf numFmtId="0" fontId="16" fillId="0" borderId="28" xfId="0" applyFont="1" applyBorder="1"/>
    <xf numFmtId="0" fontId="16" fillId="0" borderId="12" xfId="0" applyFont="1" applyBorder="1" applyAlignment="1">
      <alignment wrapText="1"/>
    </xf>
    <xf numFmtId="0" fontId="16" fillId="0" borderId="13" xfId="0" applyFont="1" applyBorder="1"/>
    <xf numFmtId="0" fontId="16" fillId="0" borderId="14" xfId="0" applyFont="1" applyBorder="1"/>
    <xf numFmtId="0" fontId="16" fillId="0" borderId="15" xfId="0" applyFont="1" applyBorder="1"/>
    <xf numFmtId="0" fontId="16" fillId="0" borderId="17" xfId="0" applyFont="1" applyBorder="1"/>
    <xf numFmtId="0" fontId="16" fillId="0" borderId="20" xfId="0" applyFont="1" applyBorder="1" applyAlignment="1">
      <alignment horizontal="center" vertical="center"/>
    </xf>
    <xf numFmtId="0" fontId="16" fillId="0" borderId="38" xfId="0" applyFont="1" applyBorder="1" applyAlignment="1">
      <alignment horizontal="center"/>
    </xf>
    <xf numFmtId="0" fontId="16" fillId="0" borderId="27" xfId="0" applyFont="1" applyBorder="1"/>
    <xf numFmtId="0" fontId="0" fillId="35" borderId="39" xfId="0" applyFill="1" applyBorder="1"/>
    <xf numFmtId="0" fontId="0" fillId="35" borderId="40" xfId="0" applyFill="1" applyBorder="1"/>
    <xf numFmtId="0" fontId="0" fillId="36" borderId="39" xfId="0" applyFill="1" applyBorder="1"/>
    <xf numFmtId="0" fontId="0" fillId="34" borderId="42" xfId="0" applyFill="1" applyBorder="1"/>
    <xf numFmtId="0" fontId="30" fillId="0" borderId="0" xfId="0" applyFont="1"/>
    <xf numFmtId="0" fontId="16" fillId="0" borderId="22" xfId="0" applyFont="1" applyBorder="1"/>
    <xf numFmtId="0" fontId="0" fillId="37" borderId="36" xfId="0" applyFill="1" applyBorder="1"/>
    <xf numFmtId="0" fontId="0" fillId="33" borderId="20" xfId="0" applyFill="1" applyBorder="1"/>
    <xf numFmtId="0" fontId="0" fillId="38" borderId="38" xfId="0" applyFill="1" applyBorder="1"/>
    <xf numFmtId="0" fontId="16" fillId="34" borderId="36" xfId="36" applyFont="1" applyFill="1" applyBorder="1" applyAlignment="1">
      <alignment horizontal="center" vertical="center" wrapText="1"/>
    </xf>
    <xf numFmtId="0" fontId="16" fillId="34" borderId="27" xfId="36" applyFont="1" applyFill="1" applyBorder="1" applyAlignment="1">
      <alignment horizontal="center" vertical="center" wrapText="1"/>
    </xf>
    <xf numFmtId="0" fontId="16" fillId="34" borderId="28" xfId="36" applyFont="1" applyFill="1" applyBorder="1" applyAlignment="1">
      <alignment horizontal="center" vertical="center" wrapText="1"/>
    </xf>
    <xf numFmtId="0" fontId="16" fillId="34" borderId="20" xfId="36" applyFont="1" applyFill="1" applyBorder="1" applyAlignment="1">
      <alignment horizontal="center" vertical="center" wrapText="1"/>
    </xf>
    <xf numFmtId="0" fontId="16" fillId="34" borderId="10" xfId="36" applyFont="1" applyFill="1" applyBorder="1" applyAlignment="1">
      <alignment horizontal="center" vertical="center" wrapText="1"/>
    </xf>
    <xf numFmtId="0" fontId="16" fillId="34" borderId="26" xfId="36" applyFont="1" applyFill="1" applyBorder="1" applyAlignment="1">
      <alignment horizontal="center" vertical="center" wrapText="1"/>
    </xf>
    <xf numFmtId="0" fontId="16" fillId="34" borderId="36" xfId="25" applyFont="1" applyFill="1" applyBorder="1" applyAlignment="1">
      <alignment horizontal="center" vertical="center" wrapText="1"/>
    </xf>
    <xf numFmtId="0" fontId="16" fillId="34" borderId="27" xfId="25" applyFont="1" applyFill="1" applyBorder="1" applyAlignment="1">
      <alignment horizontal="center" vertical="center" wrapText="1"/>
    </xf>
    <xf numFmtId="0" fontId="16" fillId="34" borderId="28" xfId="25" applyFont="1" applyFill="1" applyBorder="1" applyAlignment="1">
      <alignment horizontal="center" vertical="center" wrapText="1"/>
    </xf>
    <xf numFmtId="0" fontId="16" fillId="34" borderId="20" xfId="25" applyFont="1" applyFill="1" applyBorder="1" applyAlignment="1">
      <alignment horizontal="center" vertical="center" wrapText="1"/>
    </xf>
    <xf numFmtId="0" fontId="16" fillId="34" borderId="10" xfId="25" applyFont="1" applyFill="1" applyBorder="1" applyAlignment="1">
      <alignment horizontal="center" vertical="center" wrapText="1"/>
    </xf>
    <xf numFmtId="0" fontId="16" fillId="34" borderId="26" xfId="25" applyFont="1" applyFill="1" applyBorder="1" applyAlignment="1">
      <alignment horizontal="center" vertical="center" wrapText="1"/>
    </xf>
    <xf numFmtId="0" fontId="16" fillId="34" borderId="35" xfId="36" applyFont="1" applyFill="1" applyBorder="1" applyAlignment="1">
      <alignment horizontal="center" vertical="center" wrapText="1"/>
    </xf>
    <xf numFmtId="0" fontId="16" fillId="34" borderId="21" xfId="36" applyFont="1" applyFill="1" applyBorder="1" applyAlignment="1">
      <alignment horizontal="center" vertical="center" wrapText="1"/>
    </xf>
    <xf numFmtId="0" fontId="16" fillId="0" borderId="23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/>
    </xf>
    <xf numFmtId="0" fontId="6" fillId="2" borderId="0" xfId="6" applyAlignment="1">
      <alignment horizontal="center" vertical="center"/>
    </xf>
    <xf numFmtId="0" fontId="16" fillId="0" borderId="22" xfId="0" applyFont="1" applyBorder="1" applyAlignment="1">
      <alignment horizontal="center" vertical="center"/>
    </xf>
    <xf numFmtId="0" fontId="16" fillId="0" borderId="25" xfId="0" applyFont="1" applyBorder="1" applyAlignment="1">
      <alignment horizontal="center" vertical="center"/>
    </xf>
    <xf numFmtId="0" fontId="0" fillId="0" borderId="34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3" xfId="0" applyBorder="1" applyAlignment="1">
      <alignment horizontal="center"/>
    </xf>
    <xf numFmtId="166" fontId="0" fillId="0" borderId="34" xfId="0" applyNumberFormat="1" applyBorder="1" applyAlignment="1">
      <alignment horizontal="center"/>
    </xf>
    <xf numFmtId="166" fontId="0" fillId="0" borderId="30" xfId="0" applyNumberFormat="1" applyBorder="1" applyAlignment="1">
      <alignment horizontal="center"/>
    </xf>
    <xf numFmtId="166" fontId="0" fillId="0" borderId="33" xfId="0" applyNumberFormat="1" applyBorder="1" applyAlignment="1">
      <alignment horizontal="center"/>
    </xf>
    <xf numFmtId="0" fontId="16" fillId="0" borderId="13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0" fillId="0" borderId="0" xfId="0"/>
    <xf numFmtId="0" fontId="26" fillId="0" borderId="22" xfId="0" applyFont="1" applyBorder="1" applyAlignment="1">
      <alignment horizontal="center" vertical="center" wrapText="1"/>
    </xf>
    <xf numFmtId="0" fontId="26" fillId="0" borderId="25" xfId="0" applyFont="1" applyBorder="1" applyAlignment="1">
      <alignment horizontal="center" vertical="center" wrapText="1"/>
    </xf>
    <xf numFmtId="2" fontId="0" fillId="0" borderId="22" xfId="0" applyNumberFormat="1" applyBorder="1" applyAlignment="1">
      <alignment horizontal="center" vertical="center"/>
    </xf>
    <xf numFmtId="2" fontId="0" fillId="0" borderId="23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27" fillId="0" borderId="22" xfId="0" applyFont="1" applyBorder="1" applyAlignment="1">
      <alignment horizontal="center" vertical="center" wrapText="1"/>
    </xf>
    <xf numFmtId="0" fontId="27" fillId="0" borderId="23" xfId="0" applyFont="1" applyBorder="1" applyAlignment="1">
      <alignment horizontal="center" vertical="center" wrapText="1"/>
    </xf>
    <xf numFmtId="0" fontId="27" fillId="0" borderId="25" xfId="0" applyFont="1" applyBorder="1" applyAlignment="1">
      <alignment horizontal="center" vertical="center" wrapText="1"/>
    </xf>
    <xf numFmtId="0" fontId="26" fillId="0" borderId="23" xfId="0" applyFont="1" applyBorder="1" applyAlignment="1">
      <alignment horizontal="center" vertical="center" wrapText="1"/>
    </xf>
    <xf numFmtId="0" fontId="26" fillId="0" borderId="12" xfId="0" applyFont="1" applyBorder="1" applyAlignment="1">
      <alignment horizontal="center" vertical="center" wrapText="1"/>
    </xf>
    <xf numFmtId="0" fontId="26" fillId="0" borderId="14" xfId="0" applyFont="1" applyBorder="1" applyAlignment="1">
      <alignment horizontal="center" vertical="center" wrapText="1"/>
    </xf>
    <xf numFmtId="0" fontId="26" fillId="0" borderId="17" xfId="0" applyFont="1" applyBorder="1" applyAlignment="1">
      <alignment horizontal="center" vertical="center" wrapText="1"/>
    </xf>
    <xf numFmtId="0" fontId="26" fillId="0" borderId="19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6" fillId="0" borderId="44" xfId="0" applyFont="1" applyBorder="1" applyAlignment="1">
      <alignment horizontal="center" vertical="center" wrapText="1"/>
    </xf>
    <xf numFmtId="0" fontId="16" fillId="0" borderId="35" xfId="0" applyFont="1" applyBorder="1" applyAlignment="1">
      <alignment horizontal="center" vertical="center" wrapText="1"/>
    </xf>
    <xf numFmtId="0" fontId="16" fillId="0" borderId="27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16" fillId="0" borderId="45" xfId="0" applyFont="1" applyBorder="1" applyAlignment="1">
      <alignment horizontal="center" vertical="center" wrapText="1"/>
    </xf>
    <xf numFmtId="0" fontId="16" fillId="0" borderId="46" xfId="0" applyFont="1" applyBorder="1" applyAlignment="1">
      <alignment horizontal="center" vertical="center" wrapText="1"/>
    </xf>
    <xf numFmtId="0" fontId="16" fillId="0" borderId="39" xfId="0" applyFont="1" applyBorder="1" applyAlignment="1">
      <alignment horizontal="center" vertical="center" wrapText="1"/>
    </xf>
    <xf numFmtId="0" fontId="16" fillId="0" borderId="40" xfId="0" applyFont="1" applyBorder="1" applyAlignment="1">
      <alignment horizontal="center" vertical="center" wrapText="1"/>
    </xf>
    <xf numFmtId="165" fontId="16" fillId="0" borderId="44" xfId="0" applyNumberFormat="1" applyFont="1" applyBorder="1" applyAlignment="1">
      <alignment horizontal="center" vertical="center"/>
    </xf>
    <xf numFmtId="0" fontId="0" fillId="0" borderId="47" xfId="0" applyBorder="1"/>
    <xf numFmtId="164" fontId="0" fillId="0" borderId="29" xfId="0" applyNumberFormat="1" applyBorder="1"/>
    <xf numFmtId="0" fontId="0" fillId="0" borderId="29" xfId="0" applyBorder="1" applyAlignment="1">
      <alignment horizontal="center"/>
    </xf>
    <xf numFmtId="164" fontId="0" fillId="0" borderId="42" xfId="0" applyNumberFormat="1" applyBorder="1"/>
    <xf numFmtId="165" fontId="16" fillId="0" borderId="24" xfId="0" applyNumberFormat="1" applyFont="1" applyBorder="1" applyAlignment="1">
      <alignment horizontal="center" vertical="center"/>
    </xf>
    <xf numFmtId="0" fontId="0" fillId="0" borderId="21" xfId="0" applyBorder="1"/>
    <xf numFmtId="164" fontId="0" fillId="0" borderId="10" xfId="0" applyNumberFormat="1" applyBorder="1"/>
    <xf numFmtId="165" fontId="0" fillId="0" borderId="10" xfId="0" applyNumberFormat="1" applyBorder="1" applyAlignment="1">
      <alignment horizontal="center"/>
    </xf>
    <xf numFmtId="164" fontId="0" fillId="0" borderId="26" xfId="0" applyNumberFormat="1" applyBorder="1"/>
    <xf numFmtId="165" fontId="16" fillId="0" borderId="45" xfId="0" applyNumberFormat="1" applyFont="1" applyBorder="1" applyAlignment="1">
      <alignment horizontal="center" vertical="center"/>
    </xf>
    <xf numFmtId="0" fontId="0" fillId="0" borderId="46" xfId="0" applyBorder="1"/>
    <xf numFmtId="164" fontId="0" fillId="0" borderId="39" xfId="0" applyNumberFormat="1" applyBorder="1"/>
    <xf numFmtId="165" fontId="0" fillId="0" borderId="39" xfId="0" applyNumberFormat="1" applyBorder="1" applyAlignment="1">
      <alignment horizontal="center"/>
    </xf>
    <xf numFmtId="164" fontId="0" fillId="0" borderId="40" xfId="0" applyNumberFormat="1" applyBorder="1"/>
    <xf numFmtId="165" fontId="16" fillId="0" borderId="0" xfId="0" applyNumberFormat="1" applyFont="1" applyAlignment="1">
      <alignment horizontal="center" vertical="center"/>
    </xf>
    <xf numFmtId="16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1"/>
              <a:t>IDF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T=2</c:v>
          </c:tx>
          <c:spPr>
            <a:ln w="34925" cap="sq">
              <a:solidFill>
                <a:schemeClr val="accent1"/>
              </a:solidFill>
              <a:bevel/>
            </a:ln>
            <a:effectLst/>
          </c:spPr>
          <c:marker>
            <c:symbol val="star"/>
            <c:size val="5"/>
            <c:spPr>
              <a:solidFill>
                <a:schemeClr val="accent1">
                  <a:lumMod val="75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gumbel!$N$70:$V$70</c:f>
              <c:numCache>
                <c:formatCode>General</c:formatCode>
                <c:ptCount val="9"/>
                <c:pt idx="0">
                  <c:v>8.3333333333333329E-2</c:v>
                </c:pt>
                <c:pt idx="1">
                  <c:v>0.16666666666666666</c:v>
                </c:pt>
                <c:pt idx="2">
                  <c:v>0.25</c:v>
                </c:pt>
                <c:pt idx="3">
                  <c:v>0.5</c:v>
                </c:pt>
                <c:pt idx="4">
                  <c:v>1</c:v>
                </c:pt>
                <c:pt idx="5">
                  <c:v>2</c:v>
                </c:pt>
                <c:pt idx="6">
                  <c:v>6</c:v>
                </c:pt>
                <c:pt idx="7">
                  <c:v>12</c:v>
                </c:pt>
                <c:pt idx="8">
                  <c:v>24</c:v>
                </c:pt>
              </c:numCache>
            </c:numRef>
          </c:xVal>
          <c:yVal>
            <c:numRef>
              <c:f>gumbel!$N$71:$V$71</c:f>
              <c:numCache>
                <c:formatCode>General</c:formatCode>
                <c:ptCount val="9"/>
                <c:pt idx="0">
                  <c:v>23.319928098632367</c:v>
                </c:pt>
                <c:pt idx="1">
                  <c:v>22.382886965466579</c:v>
                </c:pt>
                <c:pt idx="2">
                  <c:v>21.333642796544428</c:v>
                </c:pt>
                <c:pt idx="3">
                  <c:v>19.026035244506364</c:v>
                </c:pt>
                <c:pt idx="4">
                  <c:v>17.178229366542677</c:v>
                </c:pt>
                <c:pt idx="5">
                  <c:v>15.580179713246723</c:v>
                </c:pt>
                <c:pt idx="6">
                  <c:v>6.6718166297222217</c:v>
                </c:pt>
                <c:pt idx="7">
                  <c:v>4.3797991741875162</c:v>
                </c:pt>
                <c:pt idx="8">
                  <c:v>3.457432427869112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6F-4284-88C1-924AFDFF4E48}"/>
            </c:ext>
          </c:extLst>
        </c:ser>
        <c:ser>
          <c:idx val="1"/>
          <c:order val="1"/>
          <c:tx>
            <c:v>T=5</c:v>
          </c:tx>
          <c:spPr>
            <a:ln w="34925" cap="rnd">
              <a:solidFill>
                <a:schemeClr val="accent2">
                  <a:alpha val="93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gumbel!$N$70:$V$70</c:f>
              <c:numCache>
                <c:formatCode>General</c:formatCode>
                <c:ptCount val="9"/>
                <c:pt idx="0">
                  <c:v>8.3333333333333329E-2</c:v>
                </c:pt>
                <c:pt idx="1">
                  <c:v>0.16666666666666666</c:v>
                </c:pt>
                <c:pt idx="2">
                  <c:v>0.25</c:v>
                </c:pt>
                <c:pt idx="3">
                  <c:v>0.5</c:v>
                </c:pt>
                <c:pt idx="4">
                  <c:v>1</c:v>
                </c:pt>
                <c:pt idx="5">
                  <c:v>2</c:v>
                </c:pt>
                <c:pt idx="6">
                  <c:v>6</c:v>
                </c:pt>
                <c:pt idx="7">
                  <c:v>12</c:v>
                </c:pt>
                <c:pt idx="8">
                  <c:v>24</c:v>
                </c:pt>
              </c:numCache>
            </c:numRef>
          </c:xVal>
          <c:yVal>
            <c:numRef>
              <c:f>gumbel!$N$72:$V$72</c:f>
              <c:numCache>
                <c:formatCode>General</c:formatCode>
                <c:ptCount val="9"/>
                <c:pt idx="0">
                  <c:v>36.371395540751855</c:v>
                </c:pt>
                <c:pt idx="1">
                  <c:v>30.748882683724922</c:v>
                </c:pt>
                <c:pt idx="2">
                  <c:v>29.885654083699521</c:v>
                </c:pt>
                <c:pt idx="3">
                  <c:v>25.443792548873123</c:v>
                </c:pt>
                <c:pt idx="4">
                  <c:v>21.453833498750534</c:v>
                </c:pt>
                <c:pt idx="5">
                  <c:v>18.660419194884813</c:v>
                </c:pt>
                <c:pt idx="6">
                  <c:v>8.2000317826338058</c:v>
                </c:pt>
                <c:pt idx="7">
                  <c:v>5.3507145940601086</c:v>
                </c:pt>
                <c:pt idx="8">
                  <c:v>4.42815401036259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6F-4284-88C1-924AFDFF4E48}"/>
            </c:ext>
          </c:extLst>
        </c:ser>
        <c:ser>
          <c:idx val="2"/>
          <c:order val="2"/>
          <c:tx>
            <c:v>T=10</c:v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7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gumbel!$N$70:$V$70</c:f>
              <c:numCache>
                <c:formatCode>General</c:formatCode>
                <c:ptCount val="9"/>
                <c:pt idx="0">
                  <c:v>8.3333333333333329E-2</c:v>
                </c:pt>
                <c:pt idx="1">
                  <c:v>0.16666666666666666</c:v>
                </c:pt>
                <c:pt idx="2">
                  <c:v>0.25</c:v>
                </c:pt>
                <c:pt idx="3">
                  <c:v>0.5</c:v>
                </c:pt>
                <c:pt idx="4">
                  <c:v>1</c:v>
                </c:pt>
                <c:pt idx="5">
                  <c:v>2</c:v>
                </c:pt>
                <c:pt idx="6">
                  <c:v>6</c:v>
                </c:pt>
                <c:pt idx="7">
                  <c:v>12</c:v>
                </c:pt>
                <c:pt idx="8">
                  <c:v>24</c:v>
                </c:pt>
              </c:numCache>
            </c:numRef>
          </c:xVal>
          <c:yVal>
            <c:numRef>
              <c:f>gumbel!$N$73:$V$73</c:f>
              <c:numCache>
                <c:formatCode>General</c:formatCode>
                <c:ptCount val="9"/>
                <c:pt idx="0">
                  <c:v>45.012602633088946</c:v>
                </c:pt>
                <c:pt idx="1">
                  <c:v>36.287899798518865</c:v>
                </c:pt>
                <c:pt idx="2">
                  <c:v>35.547829690851827</c:v>
                </c:pt>
                <c:pt idx="3">
                  <c:v>29.692906311852887</c:v>
                </c:pt>
                <c:pt idx="4">
                  <c:v>24.284655466863292</c:v>
                </c:pt>
                <c:pt idx="5">
                  <c:v>20.69980575221015</c:v>
                </c:pt>
                <c:pt idx="6">
                  <c:v>9.2118431882493628</c:v>
                </c:pt>
                <c:pt idx="7">
                  <c:v>5.993545084154027</c:v>
                </c:pt>
                <c:pt idx="8">
                  <c:v>5.070856163245189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6F-4284-88C1-924AFDFF4E48}"/>
            </c:ext>
          </c:extLst>
        </c:ser>
        <c:ser>
          <c:idx val="3"/>
          <c:order val="3"/>
          <c:tx>
            <c:v>T=25</c:v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gumbel!$N$70:$V$70</c:f>
              <c:numCache>
                <c:formatCode>General</c:formatCode>
                <c:ptCount val="9"/>
                <c:pt idx="0">
                  <c:v>8.3333333333333329E-2</c:v>
                </c:pt>
                <c:pt idx="1">
                  <c:v>0.16666666666666666</c:v>
                </c:pt>
                <c:pt idx="2">
                  <c:v>0.25</c:v>
                </c:pt>
                <c:pt idx="3">
                  <c:v>0.5</c:v>
                </c:pt>
                <c:pt idx="4">
                  <c:v>1</c:v>
                </c:pt>
                <c:pt idx="5">
                  <c:v>2</c:v>
                </c:pt>
                <c:pt idx="6">
                  <c:v>6</c:v>
                </c:pt>
                <c:pt idx="7">
                  <c:v>12</c:v>
                </c:pt>
                <c:pt idx="8">
                  <c:v>24</c:v>
                </c:pt>
              </c:numCache>
            </c:numRef>
          </c:xVal>
          <c:yVal>
            <c:numRef>
              <c:f>gumbel!$N$74:$V$74</c:f>
              <c:numCache>
                <c:formatCode>General</c:formatCode>
                <c:ptCount val="9"/>
                <c:pt idx="0">
                  <c:v>55.930790701652768</c:v>
                </c:pt>
                <c:pt idx="1">
                  <c:v>43.286462606710707</c:v>
                </c:pt>
                <c:pt idx="2">
                  <c:v>42.702003580625302</c:v>
                </c:pt>
                <c:pt idx="3">
                  <c:v>35.06167281556003</c:v>
                </c:pt>
                <c:pt idx="4">
                  <c:v>27.861406527937316</c:v>
                </c:pt>
                <c:pt idx="5">
                  <c:v>23.276576073699665</c:v>
                </c:pt>
                <c:pt idx="6">
                  <c:v>10.490269581504654</c:v>
                </c:pt>
                <c:pt idx="7">
                  <c:v>6.8057631124982851</c:v>
                </c:pt>
                <c:pt idx="8">
                  <c:v>5.8829120371827281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6F-4284-88C1-924AFDFF4E48}"/>
            </c:ext>
          </c:extLst>
        </c:ser>
        <c:ser>
          <c:idx val="4"/>
          <c:order val="4"/>
          <c:tx>
            <c:v>T=50</c:v>
          </c:tx>
          <c:spPr>
            <a:ln w="3492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gumbel!$N$70:$V$70</c:f>
              <c:numCache>
                <c:formatCode>General</c:formatCode>
                <c:ptCount val="9"/>
                <c:pt idx="0">
                  <c:v>8.3333333333333329E-2</c:v>
                </c:pt>
                <c:pt idx="1">
                  <c:v>0.16666666666666666</c:v>
                </c:pt>
                <c:pt idx="2">
                  <c:v>0.25</c:v>
                </c:pt>
                <c:pt idx="3">
                  <c:v>0.5</c:v>
                </c:pt>
                <c:pt idx="4">
                  <c:v>1</c:v>
                </c:pt>
                <c:pt idx="5">
                  <c:v>2</c:v>
                </c:pt>
                <c:pt idx="6">
                  <c:v>6</c:v>
                </c:pt>
                <c:pt idx="7">
                  <c:v>12</c:v>
                </c:pt>
                <c:pt idx="8">
                  <c:v>24</c:v>
                </c:pt>
              </c:numCache>
            </c:numRef>
          </c:xVal>
          <c:yVal>
            <c:numRef>
              <c:f>gumbel!$N$75:$V$75</c:f>
              <c:numCache>
                <c:formatCode>General</c:formatCode>
                <c:ptCount val="9"/>
                <c:pt idx="0">
                  <c:v>64.030526320634578</c:v>
                </c:pt>
                <c:pt idx="1">
                  <c:v>48.478396296001833</c:v>
                </c:pt>
                <c:pt idx="2">
                  <c:v>48.009378459633986</c:v>
                </c:pt>
                <c:pt idx="3">
                  <c:v>39.044530502842321</c:v>
                </c:pt>
                <c:pt idx="4">
                  <c:v>30.514844789641771</c:v>
                </c:pt>
                <c:pt idx="5">
                  <c:v>25.188171498127019</c:v>
                </c:pt>
                <c:pt idx="6">
                  <c:v>11.438679311092544</c:v>
                </c:pt>
                <c:pt idx="7">
                  <c:v>7.4083128444909994</c:v>
                </c:pt>
                <c:pt idx="8">
                  <c:v>6.485341473773345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6F-4284-88C1-924AFDFF4E48}"/>
            </c:ext>
          </c:extLst>
        </c:ser>
        <c:ser>
          <c:idx val="5"/>
          <c:order val="5"/>
          <c:tx>
            <c:v>T=75</c:v>
          </c:tx>
          <c:spPr>
            <a:ln w="63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tx1">
                  <a:lumMod val="65000"/>
                  <a:lumOff val="35000"/>
                  <a:alpha val="86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gumbel!$N$70:$V$70</c:f>
              <c:numCache>
                <c:formatCode>General</c:formatCode>
                <c:ptCount val="9"/>
                <c:pt idx="0">
                  <c:v>8.3333333333333329E-2</c:v>
                </c:pt>
                <c:pt idx="1">
                  <c:v>0.16666666666666666</c:v>
                </c:pt>
                <c:pt idx="2">
                  <c:v>0.25</c:v>
                </c:pt>
                <c:pt idx="3">
                  <c:v>0.5</c:v>
                </c:pt>
                <c:pt idx="4">
                  <c:v>1</c:v>
                </c:pt>
                <c:pt idx="5">
                  <c:v>2</c:v>
                </c:pt>
                <c:pt idx="6">
                  <c:v>6</c:v>
                </c:pt>
                <c:pt idx="7">
                  <c:v>12</c:v>
                </c:pt>
                <c:pt idx="8">
                  <c:v>24</c:v>
                </c:pt>
              </c:numCache>
            </c:numRef>
          </c:xVal>
          <c:yVal>
            <c:numRef>
              <c:f>gumbel!$N$76:$V$76</c:f>
              <c:numCache>
                <c:formatCode>General</c:formatCode>
                <c:ptCount val="9"/>
                <c:pt idx="0">
                  <c:v>68.738401468089634</c:v>
                </c:pt>
                <c:pt idx="1">
                  <c:v>51.496146100793723</c:v>
                </c:pt>
                <c:pt idx="2">
                  <c:v>51.094227085131855</c:v>
                </c:pt>
                <c:pt idx="3">
                  <c:v>41.359519238754132</c:v>
                </c:pt>
                <c:pt idx="4">
                  <c:v>32.057124270753405</c:v>
                </c:pt>
                <c:pt idx="5">
                  <c:v>26.299263639154404</c:v>
                </c:pt>
                <c:pt idx="6">
                  <c:v>11.989931204434301</c:v>
                </c:pt>
                <c:pt idx="7">
                  <c:v>7.7585377211778743</c:v>
                </c:pt>
                <c:pt idx="8">
                  <c:v>6.8354964301862111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06F-4284-88C1-924AFDFF4E48}"/>
            </c:ext>
          </c:extLst>
        </c:ser>
        <c:ser>
          <c:idx val="6"/>
          <c:order val="6"/>
          <c:tx>
            <c:v>T=100</c:v>
          </c:tx>
          <c:spPr>
            <a:ln w="63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gumbel!$N$70:$V$70</c:f>
              <c:numCache>
                <c:formatCode>General</c:formatCode>
                <c:ptCount val="9"/>
                <c:pt idx="0">
                  <c:v>8.3333333333333329E-2</c:v>
                </c:pt>
                <c:pt idx="1">
                  <c:v>0.16666666666666666</c:v>
                </c:pt>
                <c:pt idx="2">
                  <c:v>0.25</c:v>
                </c:pt>
                <c:pt idx="3">
                  <c:v>0.5</c:v>
                </c:pt>
                <c:pt idx="4">
                  <c:v>1</c:v>
                </c:pt>
                <c:pt idx="5">
                  <c:v>2</c:v>
                </c:pt>
                <c:pt idx="6">
                  <c:v>6</c:v>
                </c:pt>
                <c:pt idx="7">
                  <c:v>12</c:v>
                </c:pt>
                <c:pt idx="8">
                  <c:v>24</c:v>
                </c:pt>
              </c:numCache>
            </c:numRef>
          </c:xVal>
          <c:yVal>
            <c:numRef>
              <c:f>gumbel!$N$77:$V$77</c:f>
              <c:numCache>
                <c:formatCode>General</c:formatCode>
                <c:ptCount val="9"/>
                <c:pt idx="0">
                  <c:v>72.070454763228128</c:v>
                </c:pt>
                <c:pt idx="1">
                  <c:v>53.631993561913418</c:v>
                </c:pt>
                <c:pt idx="2">
                  <c:v>53.277564515639142</c:v>
                </c:pt>
                <c:pt idx="3">
                  <c:v>42.997979394154228</c:v>
                </c:pt>
                <c:pt idx="4">
                  <c:v>33.148690479734228</c:v>
                </c:pt>
                <c:pt idx="5">
                  <c:v>27.085652002005126</c:v>
                </c:pt>
                <c:pt idx="6">
                  <c:v>12.380086132109827</c:v>
                </c:pt>
                <c:pt idx="7">
                  <c:v>8.006413443845414</c:v>
                </c:pt>
                <c:pt idx="8">
                  <c:v>7.08332266596803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06F-4284-88C1-924AFDFF4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8945328"/>
        <c:axId val="698945984"/>
      </c:scatterChart>
      <c:valAx>
        <c:axId val="698945328"/>
        <c:scaling>
          <c:orientation val="minMax"/>
          <c:max val="2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Duration (hr)</a:t>
                </a:r>
              </a:p>
            </c:rich>
          </c:tx>
          <c:layout>
            <c:manualLayout>
              <c:xMode val="edge"/>
              <c:yMode val="edge"/>
              <c:x val="0.44517558881406677"/>
              <c:y val="0.934845145337164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945984"/>
        <c:crosses val="autoZero"/>
        <c:crossBetween val="midCat"/>
        <c:majorUnit val="3"/>
      </c:valAx>
      <c:valAx>
        <c:axId val="698945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Intensity (mm/hr)</a:t>
                </a:r>
              </a:p>
            </c:rich>
          </c:tx>
          <c:layout>
            <c:manualLayout>
              <c:xMode val="edge"/>
              <c:yMode val="edge"/>
              <c:x val="1.3030622832848908E-2"/>
              <c:y val="0.386594966268770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945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2181857039521272"/>
          <c:y val="7.3573561137928151E-2"/>
          <c:w val="0.74521764258604239"/>
          <c:h val="5.48652265797944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bevel/>
    </a:ln>
    <a:effectLst/>
  </c:spPr>
  <c:txPr>
    <a:bodyPr/>
    <a:lstStyle/>
    <a:p>
      <a:pPr>
        <a:defRPr sz="1000" baseline="0"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IDF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'Best Fit'!$C$14</c:f>
              <c:strCache>
                <c:ptCount val="1"/>
                <c:pt idx="0">
                  <c:v>2 years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'Best Fit'!$D$2:$K$2</c:f>
              <c:numCache>
                <c:formatCode>General</c:formatCode>
                <c:ptCount val="8"/>
                <c:pt idx="0">
                  <c:v>8.3333333333333329E-2</c:v>
                </c:pt>
                <c:pt idx="1">
                  <c:v>0.16666666666666666</c:v>
                </c:pt>
                <c:pt idx="2">
                  <c:v>0.25</c:v>
                </c:pt>
                <c:pt idx="3">
                  <c:v>0.5</c:v>
                </c:pt>
                <c:pt idx="4">
                  <c:v>1</c:v>
                </c:pt>
                <c:pt idx="5">
                  <c:v>2</c:v>
                </c:pt>
                <c:pt idx="6">
                  <c:v>6</c:v>
                </c:pt>
                <c:pt idx="7">
                  <c:v>12</c:v>
                </c:pt>
              </c:numCache>
            </c:numRef>
          </c:xVal>
          <c:yVal>
            <c:numRef>
              <c:f>'Best Fit'!$D$14:$L$14</c:f>
              <c:numCache>
                <c:formatCode>General</c:formatCode>
                <c:ptCount val="9"/>
                <c:pt idx="0">
                  <c:v>23.319928098632367</c:v>
                </c:pt>
                <c:pt idx="1">
                  <c:v>22.103607201205559</c:v>
                </c:pt>
                <c:pt idx="2">
                  <c:v>21.333642796544428</c:v>
                </c:pt>
                <c:pt idx="3">
                  <c:v>19.088791789875874</c:v>
                </c:pt>
                <c:pt idx="4">
                  <c:v>17.178229366542677</c:v>
                </c:pt>
                <c:pt idx="5">
                  <c:v>15.778671972805366</c:v>
                </c:pt>
                <c:pt idx="6">
                  <c:v>6.6718166297222217</c:v>
                </c:pt>
                <c:pt idx="7">
                  <c:v>4.4326271547105813</c:v>
                </c:pt>
                <c:pt idx="8">
                  <c:v>3.457432427869112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D2-466B-BEDE-3E16ED0D5ECF}"/>
            </c:ext>
          </c:extLst>
        </c:ser>
        <c:ser>
          <c:idx val="1"/>
          <c:order val="1"/>
          <c:tx>
            <c:strRef>
              <c:f>'Best Fit'!$C$15</c:f>
              <c:strCache>
                <c:ptCount val="1"/>
                <c:pt idx="0">
                  <c:v>5 years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'Best Fit'!$D$2:$L$2</c:f>
              <c:numCache>
                <c:formatCode>General</c:formatCode>
                <c:ptCount val="9"/>
                <c:pt idx="0">
                  <c:v>8.3333333333333329E-2</c:v>
                </c:pt>
                <c:pt idx="1">
                  <c:v>0.16666666666666666</c:v>
                </c:pt>
                <c:pt idx="2">
                  <c:v>0.25</c:v>
                </c:pt>
                <c:pt idx="3">
                  <c:v>0.5</c:v>
                </c:pt>
                <c:pt idx="4">
                  <c:v>1</c:v>
                </c:pt>
                <c:pt idx="5">
                  <c:v>2</c:v>
                </c:pt>
                <c:pt idx="6">
                  <c:v>6</c:v>
                </c:pt>
                <c:pt idx="7">
                  <c:v>12</c:v>
                </c:pt>
                <c:pt idx="8">
                  <c:v>24</c:v>
                </c:pt>
              </c:numCache>
            </c:numRef>
          </c:xVal>
          <c:yVal>
            <c:numRef>
              <c:f>'Best Fit'!$D$15:$L$15</c:f>
              <c:numCache>
                <c:formatCode>General</c:formatCode>
                <c:ptCount val="9"/>
                <c:pt idx="0">
                  <c:v>36.371395540751855</c:v>
                </c:pt>
                <c:pt idx="1">
                  <c:v>31.260966669494554</c:v>
                </c:pt>
                <c:pt idx="2">
                  <c:v>29.885654083699521</c:v>
                </c:pt>
                <c:pt idx="3">
                  <c:v>25.34322094289443</c:v>
                </c:pt>
                <c:pt idx="4">
                  <c:v>21.453833498750534</c:v>
                </c:pt>
                <c:pt idx="5">
                  <c:v>18.996229180229484</c:v>
                </c:pt>
                <c:pt idx="6">
                  <c:v>8.2000317826338058</c:v>
                </c:pt>
                <c:pt idx="7">
                  <c:v>5.4288989412654045</c:v>
                </c:pt>
                <c:pt idx="8">
                  <c:v>4.42815401036259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0D2-466B-BEDE-3E16ED0D5ECF}"/>
            </c:ext>
          </c:extLst>
        </c:ser>
        <c:ser>
          <c:idx val="2"/>
          <c:order val="2"/>
          <c:tx>
            <c:strRef>
              <c:f>'Best Fit'!$C$16</c:f>
              <c:strCache>
                <c:ptCount val="1"/>
                <c:pt idx="0">
                  <c:v>10 years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'Best Fit'!$D$2:$L$2</c:f>
              <c:numCache>
                <c:formatCode>General</c:formatCode>
                <c:ptCount val="9"/>
                <c:pt idx="0">
                  <c:v>8.3333333333333329E-2</c:v>
                </c:pt>
                <c:pt idx="1">
                  <c:v>0.16666666666666666</c:v>
                </c:pt>
                <c:pt idx="2">
                  <c:v>0.25</c:v>
                </c:pt>
                <c:pt idx="3">
                  <c:v>0.5</c:v>
                </c:pt>
                <c:pt idx="4">
                  <c:v>1</c:v>
                </c:pt>
                <c:pt idx="5">
                  <c:v>2</c:v>
                </c:pt>
                <c:pt idx="6">
                  <c:v>6</c:v>
                </c:pt>
                <c:pt idx="7">
                  <c:v>12</c:v>
                </c:pt>
                <c:pt idx="8">
                  <c:v>24</c:v>
                </c:pt>
              </c:numCache>
            </c:numRef>
          </c:xVal>
          <c:yVal>
            <c:numRef>
              <c:f>'Best Fit'!$D$16:$L$16</c:f>
              <c:numCache>
                <c:formatCode>General</c:formatCode>
                <c:ptCount val="9"/>
                <c:pt idx="0">
                  <c:v>45.012602633088946</c:v>
                </c:pt>
                <c:pt idx="1">
                  <c:v>37.470711224331367</c:v>
                </c:pt>
                <c:pt idx="2">
                  <c:v>35.547829690851827</c:v>
                </c:pt>
                <c:pt idx="3">
                  <c:v>29.390005522548599</c:v>
                </c:pt>
                <c:pt idx="4">
                  <c:v>24.284655466863292</c:v>
                </c:pt>
                <c:pt idx="5">
                  <c:v>20.931331501124955</c:v>
                </c:pt>
                <c:pt idx="6">
                  <c:v>9.2118431882493628</c:v>
                </c:pt>
                <c:pt idx="7">
                  <c:v>6.0358347698838957</c:v>
                </c:pt>
                <c:pt idx="8">
                  <c:v>5.070856163245189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0D2-466B-BEDE-3E16ED0D5ECF}"/>
            </c:ext>
          </c:extLst>
        </c:ser>
        <c:ser>
          <c:idx val="3"/>
          <c:order val="3"/>
          <c:tx>
            <c:strRef>
              <c:f>'Best Fit'!$C$17</c:f>
              <c:strCache>
                <c:ptCount val="1"/>
                <c:pt idx="0">
                  <c:v>25 years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'Best Fit'!$D$2:$L$2</c:f>
              <c:numCache>
                <c:formatCode>General</c:formatCode>
                <c:ptCount val="9"/>
                <c:pt idx="0">
                  <c:v>8.3333333333333329E-2</c:v>
                </c:pt>
                <c:pt idx="1">
                  <c:v>0.16666666666666666</c:v>
                </c:pt>
                <c:pt idx="2">
                  <c:v>0.25</c:v>
                </c:pt>
                <c:pt idx="3">
                  <c:v>0.5</c:v>
                </c:pt>
                <c:pt idx="4">
                  <c:v>1</c:v>
                </c:pt>
                <c:pt idx="5">
                  <c:v>2</c:v>
                </c:pt>
                <c:pt idx="6">
                  <c:v>6</c:v>
                </c:pt>
                <c:pt idx="7">
                  <c:v>12</c:v>
                </c:pt>
                <c:pt idx="8">
                  <c:v>24</c:v>
                </c:pt>
              </c:numCache>
            </c:numRef>
          </c:xVal>
          <c:yVal>
            <c:numRef>
              <c:f>'Best Fit'!$D$17:$L$17</c:f>
              <c:numCache>
                <c:formatCode>General</c:formatCode>
                <c:ptCount val="9"/>
                <c:pt idx="0">
                  <c:v>55.930790701652768</c:v>
                </c:pt>
                <c:pt idx="1">
                  <c:v>45.457460137216898</c:v>
                </c:pt>
                <c:pt idx="2">
                  <c:v>42.702003580625302</c:v>
                </c:pt>
                <c:pt idx="3">
                  <c:v>34.419812984625302</c:v>
                </c:pt>
                <c:pt idx="4">
                  <c:v>27.861406527937316</c:v>
                </c:pt>
                <c:pt idx="5">
                  <c:v>23.2125588419538</c:v>
                </c:pt>
                <c:pt idx="6">
                  <c:v>10.490269581504654</c:v>
                </c:pt>
                <c:pt idx="7">
                  <c:v>6.7580013350492232</c:v>
                </c:pt>
                <c:pt idx="8">
                  <c:v>5.8829120371827281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0D2-466B-BEDE-3E16ED0D5ECF}"/>
            </c:ext>
          </c:extLst>
        </c:ser>
        <c:ser>
          <c:idx val="4"/>
          <c:order val="4"/>
          <c:tx>
            <c:strRef>
              <c:f>'Best Fit'!$C$18</c:f>
              <c:strCache>
                <c:ptCount val="1"/>
                <c:pt idx="0">
                  <c:v>50 years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'Best Fit'!$D$2:$L$2</c:f>
              <c:numCache>
                <c:formatCode>General</c:formatCode>
                <c:ptCount val="9"/>
                <c:pt idx="0">
                  <c:v>8.3333333333333329E-2</c:v>
                </c:pt>
                <c:pt idx="1">
                  <c:v>0.16666666666666666</c:v>
                </c:pt>
                <c:pt idx="2">
                  <c:v>0.25</c:v>
                </c:pt>
                <c:pt idx="3">
                  <c:v>0.5</c:v>
                </c:pt>
                <c:pt idx="4">
                  <c:v>1</c:v>
                </c:pt>
                <c:pt idx="5">
                  <c:v>2</c:v>
                </c:pt>
                <c:pt idx="6">
                  <c:v>6</c:v>
                </c:pt>
                <c:pt idx="7">
                  <c:v>12</c:v>
                </c:pt>
                <c:pt idx="8">
                  <c:v>24</c:v>
                </c:pt>
              </c:numCache>
            </c:numRef>
          </c:xVal>
          <c:yVal>
            <c:numRef>
              <c:f>'Best Fit'!$D$18:$L$18</c:f>
              <c:numCache>
                <c:formatCode>General</c:formatCode>
                <c:ptCount val="9"/>
                <c:pt idx="0">
                  <c:v>64.030526320634578</c:v>
                </c:pt>
                <c:pt idx="1">
                  <c:v>51.500739102872714</c:v>
                </c:pt>
                <c:pt idx="2">
                  <c:v>48.009378459633986</c:v>
                </c:pt>
                <c:pt idx="3">
                  <c:v>38.117999591640697</c:v>
                </c:pt>
                <c:pt idx="4">
                  <c:v>30.514844789641771</c:v>
                </c:pt>
                <c:pt idx="5">
                  <c:v>24.816784230569965</c:v>
                </c:pt>
                <c:pt idx="6">
                  <c:v>11.438679311092544</c:v>
                </c:pt>
                <c:pt idx="7">
                  <c:v>7.2698384207884281</c:v>
                </c:pt>
                <c:pt idx="8">
                  <c:v>6.485341473773345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0D2-466B-BEDE-3E16ED0D5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7621599"/>
        <c:axId val="1227603711"/>
      </c:scatterChart>
      <c:valAx>
        <c:axId val="122762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Duration (h)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7603711"/>
        <c:crosses val="autoZero"/>
        <c:crossBetween val="midCat"/>
      </c:valAx>
      <c:valAx>
        <c:axId val="1227603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</a:t>
                </a:r>
                <a:r>
                  <a:rPr lang="en-US" baseline="0"/>
                  <a:t> (mm/h)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762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TRH</c:v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'[1]2(a)'!$P$6:$Q$20</c:f>
              <c:strCache>
                <c:ptCount val="15"/>
                <c:pt idx="0">
                  <c:v>0 - 0.1333</c:v>
                </c:pt>
                <c:pt idx="1">
                  <c:v>0.1333 - 0.2667</c:v>
                </c:pt>
                <c:pt idx="2">
                  <c:v>0.2667-0.4000</c:v>
                </c:pt>
                <c:pt idx="3">
                  <c:v>0.4000-0.5333</c:v>
                </c:pt>
                <c:pt idx="4">
                  <c:v>0.5333-0.6667</c:v>
                </c:pt>
                <c:pt idx="5">
                  <c:v>0.6667-0.8000</c:v>
                </c:pt>
                <c:pt idx="6">
                  <c:v>0.8000-0.9333</c:v>
                </c:pt>
                <c:pt idx="7">
                  <c:v>0.9333-1.0667</c:v>
                </c:pt>
                <c:pt idx="8">
                  <c:v>1.0667-1.2000</c:v>
                </c:pt>
                <c:pt idx="9">
                  <c:v>1.2000-1.3333</c:v>
                </c:pt>
                <c:pt idx="10">
                  <c:v>1.3333-1.4667</c:v>
                </c:pt>
                <c:pt idx="11">
                  <c:v>1.4667-1.6000</c:v>
                </c:pt>
                <c:pt idx="12">
                  <c:v>1.6000-1.7333</c:v>
                </c:pt>
                <c:pt idx="13">
                  <c:v>1.7333-1.8667</c:v>
                </c:pt>
                <c:pt idx="14">
                  <c:v>1.8667-2.0000</c:v>
                </c:pt>
              </c:strCache>
            </c:strRef>
          </c:cat>
          <c:val>
            <c:numRef>
              <c:f>'[1]2(a)'!$R$6:$R$20</c:f>
              <c:numCache>
                <c:formatCode>0.000</c:formatCode>
                <c:ptCount val="15"/>
                <c:pt idx="0">
                  <c:v>1.4473159032211029</c:v>
                </c:pt>
                <c:pt idx="1">
                  <c:v>1.5709403035498752</c:v>
                </c:pt>
                <c:pt idx="2">
                  <c:v>1.7299014634949224</c:v>
                </c:pt>
                <c:pt idx="3">
                  <c:v>1.9438785515361623</c:v>
                </c:pt>
                <c:pt idx="4">
                  <c:v>2.2513045825240461</c:v>
                </c:pt>
                <c:pt idx="5">
                  <c:v>2.7392918275553058</c:v>
                </c:pt>
                <c:pt idx="6">
                  <c:v>3.6582950781881198</c:v>
                </c:pt>
                <c:pt idx="7">
                  <c:v>6.1480516979317459</c:v>
                </c:pt>
                <c:pt idx="8">
                  <c:v>4.5262259515739229</c:v>
                </c:pt>
                <c:pt idx="9">
                  <c:v>3.1143624481549725</c:v>
                </c:pt>
                <c:pt idx="10">
                  <c:v>2.463546129986387</c:v>
                </c:pt>
                <c:pt idx="11">
                  <c:v>2.0822232642473431</c:v>
                </c:pt>
                <c:pt idx="12">
                  <c:v>1.8282451802383051</c:v>
                </c:pt>
                <c:pt idx="13">
                  <c:v>1.6450480884477443</c:v>
                </c:pt>
                <c:pt idx="14">
                  <c:v>1.5055435065033649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03-4F5C-B4B2-9AD26453D05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511121632"/>
        <c:axId val="511121960"/>
      </c:barChart>
      <c:catAx>
        <c:axId val="5111216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duration (hr)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21960"/>
        <c:crosses val="autoZero"/>
        <c:auto val="1"/>
        <c:lblAlgn val="ctr"/>
        <c:lblOffset val="100"/>
        <c:noMultiLvlLbl val="0"/>
      </c:catAx>
      <c:valAx>
        <c:axId val="511121960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Precipitation (mm)</a:t>
                </a:r>
              </a:p>
            </c:rich>
          </c:tx>
          <c:layout>
            <c:manualLayout>
              <c:xMode val="edge"/>
              <c:yMode val="edge"/>
              <c:x val="1.1940186248102027E-2"/>
              <c:y val="0.321466364931234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crossAx val="51112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7325</xdr:colOff>
      <xdr:row>78</xdr:row>
      <xdr:rowOff>168889</xdr:rowOff>
    </xdr:from>
    <xdr:to>
      <xdr:col>22</xdr:col>
      <xdr:colOff>150478</xdr:colOff>
      <xdr:row>100</xdr:row>
      <xdr:rowOff>163655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57F4FB-F7B9-482D-BE26-9944A58A70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304801</xdr:colOff>
      <xdr:row>22</xdr:row>
      <xdr:rowOff>53340</xdr:rowOff>
    </xdr:from>
    <xdr:to>
      <xdr:col>7</xdr:col>
      <xdr:colOff>362853</xdr:colOff>
      <xdr:row>37</xdr:row>
      <xdr:rowOff>15240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0E8B964-9A7E-B4AD-A23F-8CC5F31BD3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401" y="3710940"/>
          <a:ext cx="1886853" cy="2705100"/>
        </a:xfrm>
        <a:prstGeom prst="rect">
          <a:avLst/>
        </a:prstGeom>
      </xdr:spPr>
    </xdr:pic>
    <xdr:clientData/>
  </xdr:twoCellAnchor>
  <xdr:twoCellAnchor editAs="oneCell">
    <xdr:from>
      <xdr:col>8</xdr:col>
      <xdr:colOff>30480</xdr:colOff>
      <xdr:row>22</xdr:row>
      <xdr:rowOff>68581</xdr:rowOff>
    </xdr:from>
    <xdr:to>
      <xdr:col>10</xdr:col>
      <xdr:colOff>563637</xdr:colOff>
      <xdr:row>31</xdr:row>
      <xdr:rowOff>106299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ED7523D-3CDE-56C2-5FB0-B43531164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02480" y="3726181"/>
          <a:ext cx="1752357" cy="1683638"/>
        </a:xfrm>
        <a:prstGeom prst="rect">
          <a:avLst/>
        </a:prstGeom>
      </xdr:spPr>
    </xdr:pic>
    <xdr:clientData/>
  </xdr:twoCellAnchor>
  <xdr:twoCellAnchor>
    <xdr:from>
      <xdr:col>12</xdr:col>
      <xdr:colOff>426720</xdr:colOff>
      <xdr:row>1</xdr:row>
      <xdr:rowOff>152400</xdr:rowOff>
    </xdr:from>
    <xdr:to>
      <xdr:col>23</xdr:col>
      <xdr:colOff>7620</xdr:colOff>
      <xdr:row>21</xdr:row>
      <xdr:rowOff>60960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7E995A9-A496-6092-3B6A-B599256996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80</xdr:col>
      <xdr:colOff>393560</xdr:colOff>
      <xdr:row>13</xdr:row>
      <xdr:rowOff>8373</xdr:rowOff>
    </xdr:from>
    <xdr:to>
      <xdr:col>85</xdr:col>
      <xdr:colOff>236208</xdr:colOff>
      <xdr:row>15</xdr:row>
      <xdr:rowOff>78021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BDC5B0B-870A-6C09-5A9A-703738EBB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429516" y="3533670"/>
          <a:ext cx="2899022" cy="44646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27</xdr:row>
      <xdr:rowOff>0</xdr:rowOff>
    </xdr:from>
    <xdr:to>
      <xdr:col>14</xdr:col>
      <xdr:colOff>563742</xdr:colOff>
      <xdr:row>44</xdr:row>
      <xdr:rowOff>70119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65F5AB9-F5F7-4A21-9DF8-56163A0893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154781</xdr:colOff>
      <xdr:row>17</xdr:row>
      <xdr:rowOff>23812</xdr:rowOff>
    </xdr:from>
    <xdr:to>
      <xdr:col>26</xdr:col>
      <xdr:colOff>36072</xdr:colOff>
      <xdr:row>19</xdr:row>
      <xdr:rowOff>110588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E8D8A09-BA26-4583-B487-E05A4ACE77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204031" y="3274218"/>
          <a:ext cx="2917385" cy="44396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arun%20Yadav\AppData\Roaming\Microsoft\Excel\q4%20(version%201).xlsb" TargetMode="External"/><Relationship Id="rId1" Type="http://schemas.openxmlformats.org/officeDocument/2006/relationships/externalLinkPath" Target="/Users/Tarun%20Yadav/AppData/Roaming/Microsoft/Excel/q4%20(version%201)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2(a)"/>
    </sheetNames>
    <sheetDataSet>
      <sheetData sheetId="0">
        <row r="6">
          <cell r="P6" t="str">
            <v>0 - 0.1333</v>
          </cell>
          <cell r="R6">
            <v>1.4473159032211029</v>
          </cell>
        </row>
        <row r="7">
          <cell r="P7" t="str">
            <v>0.1333 - 0.2667</v>
          </cell>
          <cell r="R7">
            <v>1.5709403035498752</v>
          </cell>
        </row>
        <row r="8">
          <cell r="P8" t="str">
            <v>0.2667-0.4000</v>
          </cell>
          <cell r="R8">
            <v>1.7299014634949224</v>
          </cell>
        </row>
        <row r="9">
          <cell r="P9" t="str">
            <v>0.4000-0.5333</v>
          </cell>
          <cell r="R9">
            <v>1.9438785515361623</v>
          </cell>
        </row>
        <row r="10">
          <cell r="P10" t="str">
            <v>0.5333-0.6667</v>
          </cell>
          <cell r="R10">
            <v>2.2513045825240461</v>
          </cell>
        </row>
        <row r="11">
          <cell r="P11" t="str">
            <v>0.6667-0.8000</v>
          </cell>
          <cell r="R11">
            <v>2.7392918275553058</v>
          </cell>
        </row>
        <row r="12">
          <cell r="P12" t="str">
            <v>0.8000-0.9333</v>
          </cell>
          <cell r="R12">
            <v>3.6582950781881198</v>
          </cell>
        </row>
        <row r="13">
          <cell r="P13" t="str">
            <v>0.9333-1.0667</v>
          </cell>
          <cell r="R13">
            <v>6.1480516979317459</v>
          </cell>
        </row>
        <row r="14">
          <cell r="P14" t="str">
            <v>1.0667-1.2000</v>
          </cell>
          <cell r="R14">
            <v>4.5262259515739229</v>
          </cell>
        </row>
        <row r="15">
          <cell r="P15" t="str">
            <v>1.2000-1.3333</v>
          </cell>
          <cell r="R15">
            <v>3.1143624481549725</v>
          </cell>
        </row>
        <row r="16">
          <cell r="P16" t="str">
            <v>1.3333-1.4667</v>
          </cell>
          <cell r="R16">
            <v>2.463546129986387</v>
          </cell>
        </row>
        <row r="17">
          <cell r="P17" t="str">
            <v>1.4667-1.6000</v>
          </cell>
          <cell r="R17">
            <v>2.0822232642473431</v>
          </cell>
        </row>
        <row r="18">
          <cell r="P18" t="str">
            <v>1.6000-1.7333</v>
          </cell>
          <cell r="R18">
            <v>1.8282451802383051</v>
          </cell>
        </row>
        <row r="19">
          <cell r="P19" t="str">
            <v>1.7333-1.8667</v>
          </cell>
          <cell r="R19">
            <v>1.6450480884477443</v>
          </cell>
        </row>
        <row r="20">
          <cell r="P20" t="str">
            <v>1.8667-2.0000</v>
          </cell>
          <cell r="R20">
            <v>1.5055435065033649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Z136"/>
  <sheetViews>
    <sheetView topLeftCell="N1" zoomScale="55" zoomScaleNormal="70" workbookViewId="0">
      <selection activeCell="M71" sqref="M71"/>
    </sheetView>
  </sheetViews>
  <sheetFormatPr defaultRowHeight="14.4" x14ac:dyDescent="0.3"/>
  <cols>
    <col min="2" max="2" width="8.109375" customWidth="1"/>
    <col min="3" max="10" width="9" bestFit="1" customWidth="1"/>
    <col min="13" max="13" width="9" bestFit="1" customWidth="1"/>
    <col min="14" max="14" width="9.5546875" customWidth="1"/>
    <col min="15" max="16" width="9" bestFit="1" customWidth="1"/>
    <col min="17" max="17" width="11.6640625" bestFit="1" customWidth="1"/>
    <col min="18" max="22" width="9" bestFit="1" customWidth="1"/>
    <col min="25" max="25" width="9" bestFit="1" customWidth="1"/>
    <col min="26" max="27" width="12.44140625" bestFit="1" customWidth="1"/>
    <col min="28" max="28" width="14.77734375" bestFit="1" customWidth="1"/>
    <col min="29" max="30" width="12.44140625" bestFit="1" customWidth="1"/>
    <col min="31" max="31" width="14.77734375" bestFit="1" customWidth="1"/>
    <col min="32" max="33" width="12.44140625" bestFit="1" customWidth="1"/>
    <col min="34" max="34" width="12.33203125" customWidth="1"/>
    <col min="35" max="35" width="11.5546875" customWidth="1"/>
    <col min="36" max="36" width="9" bestFit="1" customWidth="1"/>
    <col min="37" max="37" width="11.88671875" customWidth="1"/>
    <col min="38" max="38" width="10.6640625" customWidth="1"/>
    <col min="39" max="39" width="9" bestFit="1" customWidth="1"/>
    <col min="40" max="40" width="14.77734375" bestFit="1" customWidth="1"/>
    <col min="41" max="41" width="11.88671875" customWidth="1"/>
    <col min="42" max="42" width="9" bestFit="1" customWidth="1"/>
    <col min="43" max="43" width="14.77734375" bestFit="1" customWidth="1"/>
    <col min="44" max="44" width="11.44140625" customWidth="1"/>
    <col min="45" max="45" width="9" bestFit="1" customWidth="1"/>
    <col min="46" max="46" width="14.77734375" bestFit="1" customWidth="1"/>
    <col min="47" max="47" width="10.6640625" customWidth="1"/>
    <col min="48" max="48" width="9" bestFit="1" customWidth="1"/>
    <col min="49" max="49" width="14.77734375" bestFit="1" customWidth="1"/>
    <col min="50" max="50" width="10.6640625" customWidth="1"/>
    <col min="51" max="51" width="9" bestFit="1" customWidth="1"/>
    <col min="52" max="52" width="14.77734375" bestFit="1" customWidth="1"/>
  </cols>
  <sheetData>
    <row r="1" spans="1:52" ht="15" thickBot="1" x14ac:dyDescent="0.35"/>
    <row r="2" spans="1:52" ht="15" customHeight="1" x14ac:dyDescent="0.3">
      <c r="A2" s="163" t="s">
        <v>0</v>
      </c>
      <c r="B2" s="166" t="s">
        <v>10</v>
      </c>
      <c r="C2" s="166"/>
      <c r="D2" s="166"/>
      <c r="E2" s="166"/>
      <c r="F2" s="166"/>
      <c r="G2" s="166"/>
      <c r="H2" s="166"/>
      <c r="I2" s="166"/>
      <c r="J2" s="166"/>
      <c r="M2" s="163" t="s">
        <v>0</v>
      </c>
      <c r="N2" s="163" t="s">
        <v>11</v>
      </c>
      <c r="O2" s="163"/>
      <c r="P2" s="163"/>
      <c r="Q2" s="163"/>
      <c r="R2" s="163"/>
      <c r="S2" s="163"/>
      <c r="T2" s="163"/>
      <c r="U2" s="163"/>
      <c r="V2" s="163"/>
      <c r="Y2" s="59"/>
      <c r="Z2" s="148" t="s">
        <v>35</v>
      </c>
      <c r="AA2" s="149"/>
      <c r="AB2" s="150"/>
      <c r="AC2" s="154" t="s">
        <v>39</v>
      </c>
      <c r="AD2" s="155"/>
      <c r="AE2" s="156"/>
      <c r="AF2" s="148" t="s">
        <v>40</v>
      </c>
      <c r="AG2" s="149"/>
      <c r="AH2" s="150"/>
      <c r="AI2" s="154" t="s">
        <v>41</v>
      </c>
      <c r="AJ2" s="155"/>
      <c r="AK2" s="156"/>
      <c r="AL2" s="148" t="s">
        <v>42</v>
      </c>
      <c r="AM2" s="149"/>
      <c r="AN2" s="150"/>
      <c r="AO2" s="154" t="s">
        <v>43</v>
      </c>
      <c r="AP2" s="155"/>
      <c r="AQ2" s="156"/>
      <c r="AR2" s="148" t="s">
        <v>44</v>
      </c>
      <c r="AS2" s="149"/>
      <c r="AT2" s="150"/>
      <c r="AU2" s="154" t="s">
        <v>45</v>
      </c>
      <c r="AV2" s="155"/>
      <c r="AW2" s="156"/>
      <c r="AX2" s="160" t="s">
        <v>46</v>
      </c>
      <c r="AY2" s="149"/>
      <c r="AZ2" s="150"/>
    </row>
    <row r="3" spans="1:52" x14ac:dyDescent="0.3">
      <c r="A3" s="163"/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  <c r="M3" s="163"/>
      <c r="N3" s="1" t="s">
        <v>1</v>
      </c>
      <c r="O3" s="1" t="s">
        <v>2</v>
      </c>
      <c r="P3" s="1" t="s">
        <v>3</v>
      </c>
      <c r="Q3" s="1" t="s">
        <v>4</v>
      </c>
      <c r="R3" s="1" t="s">
        <v>5</v>
      </c>
      <c r="S3" s="1" t="s">
        <v>6</v>
      </c>
      <c r="T3" s="1" t="s">
        <v>7</v>
      </c>
      <c r="U3" s="1" t="s">
        <v>8</v>
      </c>
      <c r="V3" s="1" t="s">
        <v>9</v>
      </c>
      <c r="Y3" s="22"/>
      <c r="Z3" s="151"/>
      <c r="AA3" s="152"/>
      <c r="AB3" s="153"/>
      <c r="AC3" s="157"/>
      <c r="AD3" s="158"/>
      <c r="AE3" s="159"/>
      <c r="AF3" s="151"/>
      <c r="AG3" s="152"/>
      <c r="AH3" s="153"/>
      <c r="AI3" s="157"/>
      <c r="AJ3" s="158"/>
      <c r="AK3" s="159"/>
      <c r="AL3" s="151"/>
      <c r="AM3" s="152"/>
      <c r="AN3" s="153"/>
      <c r="AO3" s="157"/>
      <c r="AP3" s="158"/>
      <c r="AQ3" s="159"/>
      <c r="AR3" s="151"/>
      <c r="AS3" s="152"/>
      <c r="AT3" s="153"/>
      <c r="AU3" s="157"/>
      <c r="AV3" s="158"/>
      <c r="AW3" s="159"/>
      <c r="AX3" s="161"/>
      <c r="AY3" s="152"/>
      <c r="AZ3" s="153"/>
    </row>
    <row r="4" spans="1:52" x14ac:dyDescent="0.3">
      <c r="A4" s="1">
        <v>1961</v>
      </c>
      <c r="B4">
        <v>4.18</v>
      </c>
      <c r="C4">
        <v>5.13</v>
      </c>
      <c r="D4">
        <v>6.22</v>
      </c>
      <c r="E4">
        <v>8.26</v>
      </c>
      <c r="F4">
        <v>17.34</v>
      </c>
      <c r="G4">
        <v>31.26</v>
      </c>
      <c r="H4">
        <v>36.36</v>
      </c>
      <c r="I4">
        <v>63.72</v>
      </c>
      <c r="J4">
        <v>101.54</v>
      </c>
      <c r="M4" s="1">
        <v>1961</v>
      </c>
      <c r="N4">
        <f>B4*12</f>
        <v>50.16</v>
      </c>
      <c r="O4">
        <f>C4*6</f>
        <v>30.78</v>
      </c>
      <c r="P4">
        <f>D4*4</f>
        <v>24.88</v>
      </c>
      <c r="Q4">
        <f>E4*2</f>
        <v>16.52</v>
      </c>
      <c r="R4">
        <f>F4</f>
        <v>17.34</v>
      </c>
      <c r="S4">
        <f>G4/2</f>
        <v>15.63</v>
      </c>
      <c r="T4">
        <f>H4/6</f>
        <v>6.06</v>
      </c>
      <c r="U4">
        <f>I4/12</f>
        <v>5.31</v>
      </c>
      <c r="V4">
        <f>J4/24</f>
        <v>4.2308333333333339</v>
      </c>
      <c r="Y4" s="162" t="s">
        <v>0</v>
      </c>
      <c r="Z4" s="151"/>
      <c r="AA4" s="152"/>
      <c r="AB4" s="153"/>
      <c r="AC4" s="157"/>
      <c r="AD4" s="158"/>
      <c r="AE4" s="159"/>
      <c r="AF4" s="151"/>
      <c r="AG4" s="152"/>
      <c r="AH4" s="153"/>
      <c r="AI4" s="157"/>
      <c r="AJ4" s="158"/>
      <c r="AK4" s="159"/>
      <c r="AL4" s="151"/>
      <c r="AM4" s="152"/>
      <c r="AN4" s="153"/>
      <c r="AO4" s="157"/>
      <c r="AP4" s="158"/>
      <c r="AQ4" s="159"/>
      <c r="AR4" s="151"/>
      <c r="AS4" s="152"/>
      <c r="AT4" s="153"/>
      <c r="AU4" s="157"/>
      <c r="AV4" s="158"/>
      <c r="AW4" s="159"/>
      <c r="AX4" s="161"/>
      <c r="AY4" s="152"/>
      <c r="AZ4" s="153"/>
    </row>
    <row r="5" spans="1:52" ht="28.8" x14ac:dyDescent="0.3">
      <c r="A5" s="1">
        <v>1962</v>
      </c>
      <c r="B5">
        <v>1.41</v>
      </c>
      <c r="C5">
        <v>4</v>
      </c>
      <c r="D5">
        <v>8.17</v>
      </c>
      <c r="E5">
        <v>17.190000000000001</v>
      </c>
      <c r="F5">
        <v>16.75</v>
      </c>
      <c r="G5">
        <v>21.21</v>
      </c>
      <c r="H5">
        <v>44.89</v>
      </c>
      <c r="I5">
        <v>48.76</v>
      </c>
      <c r="J5">
        <v>146.86000000000001</v>
      </c>
      <c r="M5" s="1">
        <v>1962</v>
      </c>
      <c r="N5">
        <f t="shared" ref="N5:N63" si="0">B5*12</f>
        <v>16.919999999999998</v>
      </c>
      <c r="O5">
        <f t="shared" ref="O5:O63" si="1">C5*6</f>
        <v>24</v>
      </c>
      <c r="P5">
        <f t="shared" ref="P5:P63" si="2">D5*4</f>
        <v>32.68</v>
      </c>
      <c r="Q5">
        <f t="shared" ref="Q5:Q63" si="3">E5*2</f>
        <v>34.380000000000003</v>
      </c>
      <c r="R5">
        <f t="shared" ref="R5:R63" si="4">F5</f>
        <v>16.75</v>
      </c>
      <c r="S5">
        <f t="shared" ref="S5:S63" si="5">G5/2</f>
        <v>10.605</v>
      </c>
      <c r="T5">
        <f t="shared" ref="T5:T63" si="6">H5/6</f>
        <v>7.4816666666666665</v>
      </c>
      <c r="U5">
        <f t="shared" ref="U5:U63" si="7">I5/12</f>
        <v>4.0633333333333335</v>
      </c>
      <c r="V5">
        <f t="shared" ref="V5:V63" si="8">J5/24</f>
        <v>6.1191666666666675</v>
      </c>
      <c r="Y5" s="162"/>
      <c r="Z5" s="61" t="s">
        <v>38</v>
      </c>
      <c r="AA5" s="47" t="s">
        <v>30</v>
      </c>
      <c r="AB5" s="53" t="s">
        <v>37</v>
      </c>
      <c r="AC5" s="64" t="s">
        <v>38</v>
      </c>
      <c r="AD5" s="49" t="s">
        <v>30</v>
      </c>
      <c r="AE5" s="65" t="s">
        <v>37</v>
      </c>
      <c r="AF5" s="61" t="s">
        <v>38</v>
      </c>
      <c r="AG5" s="47" t="s">
        <v>30</v>
      </c>
      <c r="AH5" s="53" t="s">
        <v>37</v>
      </c>
      <c r="AI5" s="64" t="s">
        <v>38</v>
      </c>
      <c r="AJ5" s="49" t="s">
        <v>30</v>
      </c>
      <c r="AK5" s="65" t="s">
        <v>37</v>
      </c>
      <c r="AL5" s="61" t="s">
        <v>38</v>
      </c>
      <c r="AM5" s="47" t="s">
        <v>30</v>
      </c>
      <c r="AN5" s="53" t="s">
        <v>37</v>
      </c>
      <c r="AO5" s="64" t="s">
        <v>38</v>
      </c>
      <c r="AP5" s="49" t="s">
        <v>30</v>
      </c>
      <c r="AQ5" s="65" t="s">
        <v>37</v>
      </c>
      <c r="AR5" s="61" t="s">
        <v>38</v>
      </c>
      <c r="AS5" s="47" t="s">
        <v>30</v>
      </c>
      <c r="AT5" s="53" t="s">
        <v>37</v>
      </c>
      <c r="AU5" s="64" t="s">
        <v>38</v>
      </c>
      <c r="AV5" s="49" t="s">
        <v>30</v>
      </c>
      <c r="AW5" s="65" t="s">
        <v>37</v>
      </c>
      <c r="AX5" s="56" t="s">
        <v>38</v>
      </c>
      <c r="AY5" s="47" t="s">
        <v>30</v>
      </c>
      <c r="AZ5" s="53" t="s">
        <v>37</v>
      </c>
    </row>
    <row r="6" spans="1:52" x14ac:dyDescent="0.3">
      <c r="A6" s="1">
        <v>1963</v>
      </c>
      <c r="B6">
        <v>2.42</v>
      </c>
      <c r="C6">
        <v>7.23</v>
      </c>
      <c r="D6">
        <v>5.35</v>
      </c>
      <c r="E6">
        <v>9</v>
      </c>
      <c r="F6">
        <v>22.34</v>
      </c>
      <c r="G6">
        <v>46.59</v>
      </c>
      <c r="H6">
        <v>31.5</v>
      </c>
      <c r="I6">
        <v>69.47</v>
      </c>
      <c r="J6">
        <v>105.63</v>
      </c>
      <c r="M6" s="1">
        <v>1963</v>
      </c>
      <c r="N6">
        <f t="shared" si="0"/>
        <v>29.04</v>
      </c>
      <c r="O6">
        <f t="shared" si="1"/>
        <v>43.38</v>
      </c>
      <c r="P6">
        <f t="shared" si="2"/>
        <v>21.4</v>
      </c>
      <c r="Q6">
        <f t="shared" si="3"/>
        <v>18</v>
      </c>
      <c r="R6">
        <f t="shared" si="4"/>
        <v>22.34</v>
      </c>
      <c r="S6">
        <f t="shared" si="5"/>
        <v>23.295000000000002</v>
      </c>
      <c r="T6">
        <f t="shared" si="6"/>
        <v>5.25</v>
      </c>
      <c r="U6">
        <f t="shared" si="7"/>
        <v>5.7891666666666666</v>
      </c>
      <c r="V6">
        <f t="shared" si="8"/>
        <v>4.4012500000000001</v>
      </c>
      <c r="Y6" s="21">
        <v>1961</v>
      </c>
      <c r="Z6" s="62">
        <f t="shared" ref="Z6:Z37" si="9">N4</f>
        <v>50.16</v>
      </c>
      <c r="AA6" s="48">
        <f t="shared" ref="AA6:AA37" si="10">(Z6-Z$67)/Z$68</f>
        <v>1.6531634752566811</v>
      </c>
      <c r="AB6" s="54">
        <f t="shared" ref="AB6:AB37" si="11">((1/N$68)*EXP(-AA6)*EXP(-EXP(-AA6)))</f>
        <v>1.3728771636801772E-2</v>
      </c>
      <c r="AC6" s="66">
        <f>O4</f>
        <v>30.78</v>
      </c>
      <c r="AD6" s="50">
        <f>(AC6-AC$67)/AC$68</f>
        <v>0.72277252871890618</v>
      </c>
      <c r="AE6" s="67">
        <f>((1/O$68)*EXP(-AD6)*EXP(-EXP(-AD6)))</f>
        <v>4.0473548755722726E-2</v>
      </c>
      <c r="AF6" s="68">
        <f>P4</f>
        <v>24.88</v>
      </c>
      <c r="AG6" s="51">
        <f>(AF6-AF$67)/AF$68</f>
        <v>0.20220169261151139</v>
      </c>
      <c r="AH6" s="69">
        <f>((1/P$68)*EXP(-AG6)*EXP(-EXP(-AG6)))</f>
        <v>4.7832379006867751E-2</v>
      </c>
      <c r="AI6" s="66">
        <f>Q4</f>
        <v>16.52</v>
      </c>
      <c r="AJ6" s="50">
        <f>(AI6-AI$67)/AI$68</f>
        <v>-0.50937455563442147</v>
      </c>
      <c r="AK6" s="67">
        <f>((1/Q$68)*EXP(-AJ6)*EXP(-EXP(-AJ6)))</f>
        <v>5.5648603266416075E-2</v>
      </c>
      <c r="AL6" s="62">
        <f>R4</f>
        <v>17.34</v>
      </c>
      <c r="AM6" s="48">
        <f>(AL6-AL$67)/AL$68</f>
        <v>-0.1308405700078567</v>
      </c>
      <c r="AN6" s="54">
        <f>((1/R$68)*EXP(-AM6)*EXP(-EXP(-AM6)))</f>
        <v>9.6653288832804524E-2</v>
      </c>
      <c r="AO6" s="70">
        <f>S4</f>
        <v>15.63</v>
      </c>
      <c r="AP6" s="50">
        <f>(AO6-AO$67)/AO$68</f>
        <v>-0.14998428733203159</v>
      </c>
      <c r="AQ6" s="67">
        <f>((1/S$68)*EXP(-AP6)*EXP(-EXP(-AP6)))</f>
        <v>0.13377537350092547</v>
      </c>
      <c r="AR6" s="62">
        <f>T4</f>
        <v>6.06</v>
      </c>
      <c r="AS6" s="48">
        <f>(AR6-AR$67)/AR$68</f>
        <v>-0.51809076895938222</v>
      </c>
      <c r="AT6" s="54">
        <f>((1/T$68)*EXP(-AS6)*EXP(-EXP(-AS6)))</f>
        <v>0.23233308918400777</v>
      </c>
      <c r="AU6" s="66">
        <f>U4</f>
        <v>5.31</v>
      </c>
      <c r="AV6" s="50">
        <f>(AU6-AU$67)/AU$68</f>
        <v>0.68242541236200638</v>
      </c>
      <c r="AW6" s="67">
        <f>((1/U$68)*EXP(-AV6)*EXP(-EXP(-AV6)))</f>
        <v>0.35591854771954068</v>
      </c>
      <c r="AX6" s="57">
        <f>V4</f>
        <v>4.2308333333333339</v>
      </c>
      <c r="AY6" s="48">
        <f>(AX6-AX$67)/AX$68</f>
        <v>0.53984079057652146</v>
      </c>
      <c r="AZ6" s="54">
        <f>((1/V$68)*EXP(-AY6)*EXP(-EXP(-AY6)))</f>
        <v>0.37994818158820054</v>
      </c>
    </row>
    <row r="7" spans="1:52" x14ac:dyDescent="0.3">
      <c r="A7" s="1">
        <v>1964</v>
      </c>
      <c r="B7">
        <v>1.56</v>
      </c>
      <c r="C7">
        <v>5.7</v>
      </c>
      <c r="D7">
        <v>2.71</v>
      </c>
      <c r="E7">
        <v>9.11</v>
      </c>
      <c r="F7">
        <v>14.89</v>
      </c>
      <c r="G7">
        <v>25.05</v>
      </c>
      <c r="H7">
        <v>50.48</v>
      </c>
      <c r="I7">
        <v>61.44</v>
      </c>
      <c r="J7">
        <v>109.18</v>
      </c>
      <c r="M7" s="1">
        <v>1964</v>
      </c>
      <c r="N7">
        <f t="shared" si="0"/>
        <v>18.72</v>
      </c>
      <c r="O7">
        <f t="shared" si="1"/>
        <v>34.200000000000003</v>
      </c>
      <c r="P7">
        <f t="shared" si="2"/>
        <v>10.84</v>
      </c>
      <c r="Q7">
        <f t="shared" si="3"/>
        <v>18.22</v>
      </c>
      <c r="R7">
        <f t="shared" si="4"/>
        <v>14.89</v>
      </c>
      <c r="S7">
        <f t="shared" si="5"/>
        <v>12.525</v>
      </c>
      <c r="T7">
        <f t="shared" si="6"/>
        <v>8.4133333333333322</v>
      </c>
      <c r="U7">
        <f t="shared" si="7"/>
        <v>5.12</v>
      </c>
      <c r="V7">
        <f t="shared" si="8"/>
        <v>4.5491666666666672</v>
      </c>
      <c r="Y7" s="21">
        <v>1962</v>
      </c>
      <c r="Z7" s="62">
        <f t="shared" si="9"/>
        <v>16.919999999999998</v>
      </c>
      <c r="AA7" s="48">
        <f t="shared" si="10"/>
        <v>-0.59764155126630214</v>
      </c>
      <c r="AB7" s="54">
        <f t="shared" si="11"/>
        <v>2.5633897838654503E-2</v>
      </c>
      <c r="AC7" s="66">
        <f t="shared" ref="AC7:AC65" si="12">O5</f>
        <v>24</v>
      </c>
      <c r="AD7" s="50">
        <f t="shared" ref="AD7:AD65" si="13">(AC7-AC$67)/AC$68</f>
        <v>6.5495318299580545E-3</v>
      </c>
      <c r="AE7" s="67">
        <f t="shared" ref="AE7:AE65" si="14">((1/O$68)*EXP(-AD7)*EXP(-EXP(-AD7)))</f>
        <v>4.9839326508454782E-2</v>
      </c>
      <c r="AF7" s="68">
        <f t="shared" ref="AF7:AF65" si="15">P5</f>
        <v>32.68</v>
      </c>
      <c r="AG7" s="51">
        <f t="shared" ref="AG7:AG65" si="16">(AF7-AF$67)/AF$68</f>
        <v>1.0082527330049313</v>
      </c>
      <c r="AH7" s="69">
        <f t="shared" ref="AH7:AH65" si="17">((1/P$68)*EXP(-AG7)*EXP(-EXP(-AG7)))</f>
        <v>3.3573127619372152E-2</v>
      </c>
      <c r="AI7" s="66">
        <f t="shared" ref="AI7:AI65" si="18">Q5</f>
        <v>34.380000000000003</v>
      </c>
      <c r="AJ7" s="50">
        <f t="shared" ref="AJ7:AJ65" si="19">(AI7-AI$67)/AI$68</f>
        <v>1.9500549019570286</v>
      </c>
      <c r="AK7" s="67">
        <f t="shared" ref="AK7:AK65" si="20">((1/Q$68)*EXP(-AJ7)*EXP(-EXP(-AJ7)))</f>
        <v>2.1793488536681137E-2</v>
      </c>
      <c r="AL7" s="62">
        <f t="shared" ref="AL7:AL65" si="21">R5</f>
        <v>16.75</v>
      </c>
      <c r="AM7" s="48">
        <f t="shared" ref="AM7:AM65" si="22">(AL7-AL$67)/AL$68</f>
        <v>-0.25279307601834011</v>
      </c>
      <c r="AN7" s="54">
        <f t="shared" ref="AN7:AN65" si="23">((1/R$68)*EXP(-AM7)*EXP(-EXP(-AM7)))</f>
        <v>9.4184156709185438E-2</v>
      </c>
      <c r="AO7" s="70">
        <f t="shared" ref="AO7:AO65" si="24">S5</f>
        <v>10.605</v>
      </c>
      <c r="AP7" s="50">
        <f t="shared" ref="AP7:AP65" si="25">(AO7-AO$67)/AO$68</f>
        <v>-1.5917270780416604</v>
      </c>
      <c r="AQ7" s="67">
        <f t="shared" ref="AQ7:AQ65" si="26">((1/S$68)*EXP(-AP7)*EXP(-EXP(-AP7)))</f>
        <v>1.3296428311905764E-2</v>
      </c>
      <c r="AR7" s="62">
        <f t="shared" ref="AR7:AR65" si="27">T5</f>
        <v>7.4816666666666665</v>
      </c>
      <c r="AS7" s="48">
        <f t="shared" ref="AS7:AS65" si="28">(AR7-AR$67)/AR$68</f>
        <v>0.30405624689517674</v>
      </c>
      <c r="AT7" s="54">
        <f t="shared" ref="AT7:AT65" si="29">((1/T$68)*EXP(-AS7)*EXP(-EXP(-AS7)))</f>
        <v>0.26165452430976449</v>
      </c>
      <c r="AU7" s="66">
        <f t="shared" ref="AU7:AU65" si="30">U5</f>
        <v>4.0633333333333335</v>
      </c>
      <c r="AV7" s="50">
        <f t="shared" ref="AV7:AV65" si="31">(AU7-AU$67)/AU$68</f>
        <v>-0.45233755565602857</v>
      </c>
      <c r="AW7" s="67">
        <f t="shared" ref="AW7:AW65" si="32">((1/U$68)*EXP(-AV7)*EXP(-EXP(-AV7)))</f>
        <v>0.38102771288244697</v>
      </c>
      <c r="AX7" s="57">
        <f t="shared" ref="AX7:AX65" si="33">V5</f>
        <v>6.1191666666666675</v>
      </c>
      <c r="AY7" s="48">
        <f t="shared" ref="AY7:AY64" si="34">(AX7-AX$67)/AX$68</f>
        <v>2.2590161562520095</v>
      </c>
      <c r="AZ7" s="54">
        <f t="shared" ref="AZ7:AZ65" si="35">((1/V$68)*EXP(-AY7)*EXP(-EXP(-AY7)))</f>
        <v>0.10986445211369732</v>
      </c>
    </row>
    <row r="8" spans="1:52" x14ac:dyDescent="0.3">
      <c r="A8" s="1">
        <v>1965</v>
      </c>
      <c r="B8">
        <v>2.0499999999999998</v>
      </c>
      <c r="C8">
        <v>2.69</v>
      </c>
      <c r="D8">
        <v>6.28</v>
      </c>
      <c r="E8">
        <v>7.52</v>
      </c>
      <c r="F8">
        <v>16.64</v>
      </c>
      <c r="G8">
        <v>28.19</v>
      </c>
      <c r="H8">
        <v>32.409999999999997</v>
      </c>
      <c r="I8">
        <v>63.33</v>
      </c>
      <c r="J8">
        <v>46.46</v>
      </c>
      <c r="M8" s="1">
        <v>1965</v>
      </c>
      <c r="N8">
        <f t="shared" si="0"/>
        <v>24.599999999999998</v>
      </c>
      <c r="O8">
        <f t="shared" si="1"/>
        <v>16.14</v>
      </c>
      <c r="P8">
        <f t="shared" si="2"/>
        <v>25.12</v>
      </c>
      <c r="Q8">
        <f t="shared" si="3"/>
        <v>15.04</v>
      </c>
      <c r="R8">
        <f t="shared" si="4"/>
        <v>16.64</v>
      </c>
      <c r="S8">
        <f t="shared" si="5"/>
        <v>14.095000000000001</v>
      </c>
      <c r="T8">
        <f t="shared" si="6"/>
        <v>5.4016666666666664</v>
      </c>
      <c r="U8">
        <f t="shared" si="7"/>
        <v>5.2774999999999999</v>
      </c>
      <c r="V8">
        <f t="shared" si="8"/>
        <v>1.9358333333333333</v>
      </c>
      <c r="Y8" s="21">
        <v>1963</v>
      </c>
      <c r="Z8" s="62">
        <f t="shared" si="9"/>
        <v>29.04</v>
      </c>
      <c r="AA8" s="48">
        <f t="shared" si="10"/>
        <v>0.22304909017348604</v>
      </c>
      <c r="AB8" s="54">
        <f t="shared" si="11"/>
        <v>3.121740794552998E-2</v>
      </c>
      <c r="AC8" s="66">
        <f t="shared" si="12"/>
        <v>43.38</v>
      </c>
      <c r="AD8" s="50">
        <f t="shared" si="13"/>
        <v>2.0538064167426149</v>
      </c>
      <c r="AE8" s="67">
        <f t="shared" si="14"/>
        <v>1.5283495637879977E-2</v>
      </c>
      <c r="AF8" s="68">
        <f t="shared" si="15"/>
        <v>21.4</v>
      </c>
      <c r="AG8" s="51">
        <f t="shared" si="16"/>
        <v>-0.15742107925632212</v>
      </c>
      <c r="AH8" s="69">
        <f t="shared" si="17"/>
        <v>4.8123341571020523E-2</v>
      </c>
      <c r="AI8" s="66">
        <f t="shared" si="18"/>
        <v>18</v>
      </c>
      <c r="AJ8" s="50">
        <f t="shared" si="19"/>
        <v>-0.30556965097398775</v>
      </c>
      <c r="AK8" s="67">
        <f t="shared" si="20"/>
        <v>6.1688900611903609E-2</v>
      </c>
      <c r="AL8" s="62">
        <f t="shared" si="21"/>
        <v>22.34</v>
      </c>
      <c r="AM8" s="48">
        <f t="shared" si="22"/>
        <v>0.9026552436403078</v>
      </c>
      <c r="AN8" s="54">
        <f t="shared" si="23"/>
        <v>7.1659728292874328E-2</v>
      </c>
      <c r="AO8" s="70">
        <f t="shared" si="24"/>
        <v>23.295000000000002</v>
      </c>
      <c r="AP8" s="50">
        <f t="shared" si="25"/>
        <v>2.049211432228029</v>
      </c>
      <c r="AQ8" s="67">
        <f t="shared" si="26"/>
        <v>4.1676852725825914E-2</v>
      </c>
      <c r="AR8" s="62">
        <f t="shared" si="27"/>
        <v>5.25</v>
      </c>
      <c r="AS8" s="48">
        <f t="shared" si="28"/>
        <v>-0.9865121636901153</v>
      </c>
      <c r="AT8" s="54">
        <f t="shared" si="29"/>
        <v>0.13612159436294313</v>
      </c>
      <c r="AU8" s="66">
        <f t="shared" si="30"/>
        <v>5.7891666666666666</v>
      </c>
      <c r="AV8" s="50">
        <f t="shared" si="31"/>
        <v>1.1185809649090457</v>
      </c>
      <c r="AW8" s="67">
        <f t="shared" si="32"/>
        <v>0.27511603496103415</v>
      </c>
      <c r="AX8" s="57">
        <f t="shared" si="33"/>
        <v>4.4012500000000001</v>
      </c>
      <c r="AY8" s="48">
        <f t="shared" si="34"/>
        <v>0.69499143589012968</v>
      </c>
      <c r="AZ8" s="54">
        <f t="shared" si="35"/>
        <v>0.35376984648030912</v>
      </c>
    </row>
    <row r="9" spans="1:52" x14ac:dyDescent="0.3">
      <c r="A9" s="1">
        <v>1966</v>
      </c>
      <c r="B9">
        <v>1.93</v>
      </c>
      <c r="C9">
        <v>5.64</v>
      </c>
      <c r="D9">
        <v>5.6</v>
      </c>
      <c r="E9">
        <v>10.119999999999999</v>
      </c>
      <c r="F9">
        <v>15.63</v>
      </c>
      <c r="G9">
        <v>30.65</v>
      </c>
      <c r="H9">
        <v>38.43</v>
      </c>
      <c r="I9">
        <v>67.3</v>
      </c>
      <c r="J9">
        <v>76.209999999999994</v>
      </c>
      <c r="M9" s="1">
        <v>1966</v>
      </c>
      <c r="N9">
        <f t="shared" si="0"/>
        <v>23.16</v>
      </c>
      <c r="O9">
        <f t="shared" si="1"/>
        <v>33.839999999999996</v>
      </c>
      <c r="P9">
        <f t="shared" si="2"/>
        <v>22.4</v>
      </c>
      <c r="Q9">
        <f t="shared" si="3"/>
        <v>20.239999999999998</v>
      </c>
      <c r="R9">
        <f t="shared" si="4"/>
        <v>15.63</v>
      </c>
      <c r="S9">
        <f t="shared" si="5"/>
        <v>15.324999999999999</v>
      </c>
      <c r="T9">
        <f t="shared" si="6"/>
        <v>6.4050000000000002</v>
      </c>
      <c r="U9">
        <f t="shared" si="7"/>
        <v>5.6083333333333334</v>
      </c>
      <c r="V9">
        <f t="shared" si="8"/>
        <v>3.1754166666666666</v>
      </c>
      <c r="Y9" s="21">
        <v>1964</v>
      </c>
      <c r="Z9" s="62">
        <f t="shared" si="9"/>
        <v>18.72</v>
      </c>
      <c r="AA9" s="48">
        <f t="shared" si="10"/>
        <v>-0.4757568025376207</v>
      </c>
      <c r="AB9" s="54">
        <f t="shared" si="11"/>
        <v>2.7955829425555037E-2</v>
      </c>
      <c r="AC9" s="66">
        <f t="shared" si="12"/>
        <v>34.200000000000003</v>
      </c>
      <c r="AD9" s="50">
        <f t="shared" si="13"/>
        <v>1.0840531554681987</v>
      </c>
      <c r="AE9" s="67">
        <f t="shared" si="14"/>
        <v>3.2673054912007012E-2</v>
      </c>
      <c r="AF9" s="68">
        <f t="shared" si="15"/>
        <v>10.84</v>
      </c>
      <c r="AG9" s="51">
        <f t="shared" si="16"/>
        <v>-1.2486901800966441</v>
      </c>
      <c r="AH9" s="69">
        <f t="shared" si="17"/>
        <v>1.4150508799017077E-2</v>
      </c>
      <c r="AI9" s="66">
        <f t="shared" si="18"/>
        <v>18.22</v>
      </c>
      <c r="AJ9" s="50">
        <f t="shared" si="19"/>
        <v>-0.27527432730824775</v>
      </c>
      <c r="AK9" s="67">
        <f t="shared" si="20"/>
        <v>6.2322021559745686E-2</v>
      </c>
      <c r="AL9" s="62">
        <f t="shared" si="21"/>
        <v>14.89</v>
      </c>
      <c r="AM9" s="48">
        <f t="shared" si="22"/>
        <v>-0.6372535186954571</v>
      </c>
      <c r="AN9" s="54">
        <f t="shared" si="23"/>
        <v>7.5644887468721014E-2</v>
      </c>
      <c r="AO9" s="70">
        <f t="shared" si="24"/>
        <v>12.525</v>
      </c>
      <c r="AP9" s="50">
        <f t="shared" si="25"/>
        <v>-1.0408522206958919</v>
      </c>
      <c r="AQ9" s="67">
        <f t="shared" si="26"/>
        <v>6.1388151092665606E-2</v>
      </c>
      <c r="AR9" s="62">
        <f t="shared" si="27"/>
        <v>8.4133333333333322</v>
      </c>
      <c r="AS9" s="48">
        <f t="shared" si="28"/>
        <v>0.84283723383855058</v>
      </c>
      <c r="AT9" s="54">
        <f t="shared" si="29"/>
        <v>0.20759228893088907</v>
      </c>
      <c r="AU9" s="66">
        <f t="shared" si="30"/>
        <v>5.12</v>
      </c>
      <c r="AV9" s="50">
        <f t="shared" si="31"/>
        <v>0.50948025413465925</v>
      </c>
      <c r="AW9" s="67">
        <f t="shared" si="32"/>
        <v>0.38460968909674526</v>
      </c>
      <c r="AX9" s="57">
        <f t="shared" si="33"/>
        <v>4.5491666666666672</v>
      </c>
      <c r="AY9" s="48">
        <f t="shared" si="34"/>
        <v>0.8296576439251695</v>
      </c>
      <c r="AZ9" s="54">
        <f t="shared" si="35"/>
        <v>0.32926420019394698</v>
      </c>
    </row>
    <row r="10" spans="1:52" x14ac:dyDescent="0.3">
      <c r="A10" s="1">
        <v>1967</v>
      </c>
      <c r="B10">
        <v>1.96</v>
      </c>
      <c r="C10">
        <v>7.38</v>
      </c>
      <c r="D10">
        <v>4.53</v>
      </c>
      <c r="E10">
        <v>8.09</v>
      </c>
      <c r="F10">
        <v>14.32</v>
      </c>
      <c r="G10">
        <v>27.93</v>
      </c>
      <c r="H10">
        <v>38.29</v>
      </c>
      <c r="I10">
        <v>59.67</v>
      </c>
      <c r="J10">
        <v>101.47</v>
      </c>
      <c r="M10" s="1">
        <v>1967</v>
      </c>
      <c r="N10">
        <f t="shared" si="0"/>
        <v>23.52</v>
      </c>
      <c r="O10">
        <f t="shared" si="1"/>
        <v>44.28</v>
      </c>
      <c r="P10">
        <f t="shared" si="2"/>
        <v>18.12</v>
      </c>
      <c r="Q10">
        <f t="shared" si="3"/>
        <v>16.18</v>
      </c>
      <c r="R10">
        <f t="shared" si="4"/>
        <v>14.32</v>
      </c>
      <c r="S10">
        <f t="shared" si="5"/>
        <v>13.965</v>
      </c>
      <c r="T10">
        <f t="shared" si="6"/>
        <v>6.3816666666666668</v>
      </c>
      <c r="U10">
        <f t="shared" si="7"/>
        <v>4.9725000000000001</v>
      </c>
      <c r="V10">
        <f t="shared" si="8"/>
        <v>4.2279166666666663</v>
      </c>
      <c r="Y10" s="21">
        <v>1965</v>
      </c>
      <c r="Z10" s="62">
        <f t="shared" si="9"/>
        <v>24.599999999999998</v>
      </c>
      <c r="AA10" s="48">
        <f t="shared" si="10"/>
        <v>-7.7599956690594843E-2</v>
      </c>
      <c r="AB10" s="54">
        <f t="shared" si="11"/>
        <v>3.1849136056259428E-2</v>
      </c>
      <c r="AC10" s="66">
        <f t="shared" si="12"/>
        <v>16.14</v>
      </c>
      <c r="AD10" s="50">
        <f t="shared" si="13"/>
        <v>-0.82376208403245055</v>
      </c>
      <c r="AE10" s="67">
        <f t="shared" si="14"/>
        <v>3.1611788676041377E-2</v>
      </c>
      <c r="AF10" s="68">
        <f t="shared" si="15"/>
        <v>25.12</v>
      </c>
      <c r="AG10" s="51">
        <f t="shared" si="16"/>
        <v>0.22700326308515528</v>
      </c>
      <c r="AH10" s="69">
        <f t="shared" si="17"/>
        <v>4.7603828346934988E-2</v>
      </c>
      <c r="AI10" s="66">
        <f t="shared" si="18"/>
        <v>15.04</v>
      </c>
      <c r="AJ10" s="50">
        <f t="shared" si="19"/>
        <v>-0.71317946029485513</v>
      </c>
      <c r="AK10" s="67">
        <f t="shared" si="20"/>
        <v>4.683558664448987E-2</v>
      </c>
      <c r="AL10" s="62">
        <f t="shared" si="21"/>
        <v>16.64</v>
      </c>
      <c r="AM10" s="48">
        <f t="shared" si="22"/>
        <v>-0.27552998391859956</v>
      </c>
      <c r="AN10" s="54">
        <f t="shared" si="23"/>
        <v>9.3538872459401359E-2</v>
      </c>
      <c r="AO10" s="70">
        <f t="shared" si="24"/>
        <v>14.095000000000001</v>
      </c>
      <c r="AP10" s="50">
        <f t="shared" si="25"/>
        <v>-0.59039725922044561</v>
      </c>
      <c r="AQ10" s="67">
        <f t="shared" si="26"/>
        <v>0.10925513407028663</v>
      </c>
      <c r="AR10" s="62">
        <f t="shared" si="27"/>
        <v>5.4016666666666664</v>
      </c>
      <c r="AS10" s="48">
        <f t="shared" si="28"/>
        <v>-0.89880363093189175</v>
      </c>
      <c r="AT10" s="54">
        <f t="shared" si="29"/>
        <v>0.15618512300144011</v>
      </c>
      <c r="AU10" s="66">
        <f t="shared" si="30"/>
        <v>5.2774999999999999</v>
      </c>
      <c r="AV10" s="50">
        <f t="shared" si="31"/>
        <v>0.6528426879283814</v>
      </c>
      <c r="AW10" s="67">
        <f t="shared" si="32"/>
        <v>0.36108395221259237</v>
      </c>
      <c r="AX10" s="57">
        <f t="shared" si="33"/>
        <v>1.9358333333333333</v>
      </c>
      <c r="AY10" s="48">
        <f t="shared" si="34"/>
        <v>-1.5495718118375537</v>
      </c>
      <c r="AZ10" s="54">
        <f t="shared" si="35"/>
        <v>4.9542718712135093E-2</v>
      </c>
    </row>
    <row r="11" spans="1:52" x14ac:dyDescent="0.3">
      <c r="A11" s="1">
        <v>1968</v>
      </c>
      <c r="B11">
        <v>2.08</v>
      </c>
      <c r="C11">
        <v>3.87</v>
      </c>
      <c r="D11">
        <v>6.53</v>
      </c>
      <c r="E11">
        <v>10.46</v>
      </c>
      <c r="F11">
        <v>13.32</v>
      </c>
      <c r="G11">
        <v>39.31</v>
      </c>
      <c r="H11">
        <v>40.770000000000003</v>
      </c>
      <c r="I11">
        <v>45.65</v>
      </c>
      <c r="J11">
        <v>58.74</v>
      </c>
      <c r="M11" s="1">
        <v>1968</v>
      </c>
      <c r="N11">
        <f t="shared" si="0"/>
        <v>24.96</v>
      </c>
      <c r="O11">
        <f t="shared" si="1"/>
        <v>23.22</v>
      </c>
      <c r="P11">
        <f t="shared" si="2"/>
        <v>26.12</v>
      </c>
      <c r="Q11">
        <f t="shared" si="3"/>
        <v>20.92</v>
      </c>
      <c r="R11">
        <f t="shared" si="4"/>
        <v>13.32</v>
      </c>
      <c r="S11">
        <f t="shared" si="5"/>
        <v>19.655000000000001</v>
      </c>
      <c r="T11">
        <f t="shared" si="6"/>
        <v>6.7950000000000008</v>
      </c>
      <c r="U11">
        <f t="shared" si="7"/>
        <v>3.8041666666666667</v>
      </c>
      <c r="V11">
        <f t="shared" si="8"/>
        <v>2.4475000000000002</v>
      </c>
      <c r="Y11" s="21">
        <v>1966</v>
      </c>
      <c r="Z11" s="62">
        <f t="shared" si="9"/>
        <v>23.16</v>
      </c>
      <c r="AA11" s="48">
        <f t="shared" si="10"/>
        <v>-0.17510775567353981</v>
      </c>
      <c r="AB11" s="54">
        <f t="shared" si="11"/>
        <v>3.1432227417589963E-2</v>
      </c>
      <c r="AC11" s="66">
        <f t="shared" si="12"/>
        <v>33.839999999999996</v>
      </c>
      <c r="AD11" s="50">
        <f t="shared" si="13"/>
        <v>1.0460236158103777</v>
      </c>
      <c r="AE11" s="67">
        <f t="shared" si="14"/>
        <v>3.3497477606967127E-2</v>
      </c>
      <c r="AF11" s="68">
        <f t="shared" si="15"/>
        <v>22.4</v>
      </c>
      <c r="AG11" s="51">
        <f t="shared" si="16"/>
        <v>-5.4081202282806752E-2</v>
      </c>
      <c r="AH11" s="69">
        <f t="shared" si="17"/>
        <v>4.8683760733107616E-2</v>
      </c>
      <c r="AI11" s="66">
        <f t="shared" si="18"/>
        <v>20.239999999999998</v>
      </c>
      <c r="AJ11" s="50">
        <f t="shared" si="19"/>
        <v>2.8918263499116683E-3</v>
      </c>
      <c r="AK11" s="67">
        <f t="shared" si="20"/>
        <v>6.4970168573879744E-2</v>
      </c>
      <c r="AL11" s="62">
        <f t="shared" si="21"/>
        <v>15.63</v>
      </c>
      <c r="AM11" s="48">
        <f t="shared" si="22"/>
        <v>-0.48429613827552875</v>
      </c>
      <c r="AN11" s="54">
        <f t="shared" si="23"/>
        <v>8.4888585333546249E-2</v>
      </c>
      <c r="AO11" s="70">
        <f t="shared" si="24"/>
        <v>15.324999999999999</v>
      </c>
      <c r="AP11" s="50">
        <f t="shared" si="25"/>
        <v>-0.23749305373331298</v>
      </c>
      <c r="AQ11" s="67">
        <f t="shared" si="26"/>
        <v>0.1312915787164626</v>
      </c>
      <c r="AR11" s="62">
        <f t="shared" si="27"/>
        <v>6.4050000000000002</v>
      </c>
      <c r="AS11" s="48">
        <f t="shared" si="28"/>
        <v>-0.31857795268518058</v>
      </c>
      <c r="AT11" s="54">
        <f t="shared" si="29"/>
        <v>0.25783188749385644</v>
      </c>
      <c r="AU11" s="66">
        <f t="shared" si="30"/>
        <v>5.6083333333333334</v>
      </c>
      <c r="AV11" s="50">
        <f t="shared" si="31"/>
        <v>0.95397965203477197</v>
      </c>
      <c r="AW11" s="67">
        <f t="shared" si="32"/>
        <v>0.30592268462374556</v>
      </c>
      <c r="AX11" s="57">
        <f t="shared" si="33"/>
        <v>3.1754166666666666</v>
      </c>
      <c r="AY11" s="48">
        <f t="shared" si="34"/>
        <v>-0.42103105436081589</v>
      </c>
      <c r="AZ11" s="54">
        <f t="shared" si="35"/>
        <v>0.38769392410638864</v>
      </c>
    </row>
    <row r="12" spans="1:52" x14ac:dyDescent="0.3">
      <c r="A12" s="1">
        <v>1969</v>
      </c>
      <c r="B12">
        <v>1.23</v>
      </c>
      <c r="C12">
        <v>4.2699999999999996</v>
      </c>
      <c r="D12">
        <v>2.44</v>
      </c>
      <c r="E12">
        <v>8.7200000000000006</v>
      </c>
      <c r="F12">
        <v>20.25</v>
      </c>
      <c r="G12">
        <v>27.98</v>
      </c>
      <c r="H12">
        <v>41.66</v>
      </c>
      <c r="I12">
        <v>48.96</v>
      </c>
      <c r="J12">
        <v>64.650000000000006</v>
      </c>
      <c r="M12" s="1">
        <v>1969</v>
      </c>
      <c r="N12">
        <f t="shared" si="0"/>
        <v>14.76</v>
      </c>
      <c r="O12">
        <f t="shared" si="1"/>
        <v>25.619999999999997</v>
      </c>
      <c r="P12">
        <f t="shared" si="2"/>
        <v>9.76</v>
      </c>
      <c r="Q12">
        <f t="shared" si="3"/>
        <v>17.440000000000001</v>
      </c>
      <c r="R12">
        <f t="shared" si="4"/>
        <v>20.25</v>
      </c>
      <c r="S12">
        <f t="shared" si="5"/>
        <v>13.99</v>
      </c>
      <c r="T12">
        <f t="shared" si="6"/>
        <v>6.9433333333333325</v>
      </c>
      <c r="U12">
        <f t="shared" si="7"/>
        <v>4.08</v>
      </c>
      <c r="V12">
        <f t="shared" si="8"/>
        <v>2.6937500000000001</v>
      </c>
      <c r="Y12" s="21">
        <v>1967</v>
      </c>
      <c r="Z12" s="62">
        <f t="shared" si="9"/>
        <v>23.52</v>
      </c>
      <c r="AA12" s="48">
        <f t="shared" si="10"/>
        <v>-0.15073080592780358</v>
      </c>
      <c r="AB12" s="54">
        <f t="shared" si="11"/>
        <v>3.1568119235265299E-2</v>
      </c>
      <c r="AC12" s="66">
        <f t="shared" si="12"/>
        <v>44.28</v>
      </c>
      <c r="AD12" s="50">
        <f t="shared" si="13"/>
        <v>2.1488802658871653</v>
      </c>
      <c r="AE12" s="67">
        <f t="shared" si="14"/>
        <v>1.4059957094153985E-2</v>
      </c>
      <c r="AF12" s="68">
        <f t="shared" si="15"/>
        <v>18.12</v>
      </c>
      <c r="AG12" s="51">
        <f t="shared" si="16"/>
        <v>-0.49637587572945224</v>
      </c>
      <c r="AH12" s="69">
        <f t="shared" si="17"/>
        <v>4.2117089804082755E-2</v>
      </c>
      <c r="AI12" s="66">
        <f t="shared" si="18"/>
        <v>16.18</v>
      </c>
      <c r="AJ12" s="50">
        <f t="shared" si="19"/>
        <v>-0.55619460129965614</v>
      </c>
      <c r="AK12" s="67">
        <f t="shared" si="20"/>
        <v>5.384469287871798E-2</v>
      </c>
      <c r="AL12" s="62">
        <f t="shared" si="21"/>
        <v>14.32</v>
      </c>
      <c r="AM12" s="48">
        <f t="shared" si="22"/>
        <v>-0.75507204145134799</v>
      </c>
      <c r="AN12" s="54">
        <f t="shared" si="23"/>
        <v>6.7180494866901572E-2</v>
      </c>
      <c r="AO12" s="70">
        <f t="shared" si="24"/>
        <v>13.965</v>
      </c>
      <c r="AP12" s="50">
        <f t="shared" si="25"/>
        <v>-0.62769607768656555</v>
      </c>
      <c r="AQ12" s="67">
        <f t="shared" si="26"/>
        <v>0.10588993061105445</v>
      </c>
      <c r="AR12" s="62">
        <f t="shared" si="27"/>
        <v>6.3816666666666668</v>
      </c>
      <c r="AS12" s="48">
        <f t="shared" si="28"/>
        <v>-0.33207157310952273</v>
      </c>
      <c r="AT12" s="54">
        <f t="shared" si="29"/>
        <v>0.25649767546567032</v>
      </c>
      <c r="AU12" s="66">
        <f t="shared" si="30"/>
        <v>4.9725000000000001</v>
      </c>
      <c r="AV12" s="50">
        <f t="shared" si="31"/>
        <v>0.37522019708974463</v>
      </c>
      <c r="AW12" s="67">
        <f t="shared" si="32"/>
        <v>0.40349289987745146</v>
      </c>
      <c r="AX12" s="57">
        <f t="shared" si="33"/>
        <v>4.2279166666666663</v>
      </c>
      <c r="AY12" s="48">
        <f t="shared" si="34"/>
        <v>0.53718540055892838</v>
      </c>
      <c r="AZ12" s="54">
        <f t="shared" si="35"/>
        <v>0.3803685085948717</v>
      </c>
    </row>
    <row r="13" spans="1:52" x14ac:dyDescent="0.3">
      <c r="A13" s="1">
        <v>1970</v>
      </c>
      <c r="B13">
        <v>1.47</v>
      </c>
      <c r="C13">
        <v>5.95</v>
      </c>
      <c r="D13">
        <v>5.86</v>
      </c>
      <c r="E13">
        <v>7.62</v>
      </c>
      <c r="F13">
        <v>18.649999999999999</v>
      </c>
      <c r="G13">
        <v>24.05</v>
      </c>
      <c r="H13">
        <v>30.64</v>
      </c>
      <c r="I13">
        <v>61.32</v>
      </c>
      <c r="J13">
        <v>88.72</v>
      </c>
      <c r="M13" s="1">
        <v>1970</v>
      </c>
      <c r="N13">
        <f t="shared" si="0"/>
        <v>17.64</v>
      </c>
      <c r="O13">
        <f t="shared" si="1"/>
        <v>35.700000000000003</v>
      </c>
      <c r="P13">
        <f t="shared" si="2"/>
        <v>23.44</v>
      </c>
      <c r="Q13">
        <f t="shared" si="3"/>
        <v>15.24</v>
      </c>
      <c r="R13">
        <f t="shared" si="4"/>
        <v>18.649999999999999</v>
      </c>
      <c r="S13">
        <f t="shared" si="5"/>
        <v>12.025</v>
      </c>
      <c r="T13">
        <f t="shared" si="6"/>
        <v>5.1066666666666665</v>
      </c>
      <c r="U13">
        <f t="shared" si="7"/>
        <v>5.1100000000000003</v>
      </c>
      <c r="V13">
        <f t="shared" si="8"/>
        <v>3.6966666666666668</v>
      </c>
      <c r="Y13" s="21">
        <v>1968</v>
      </c>
      <c r="Z13" s="62">
        <f t="shared" si="9"/>
        <v>24.96</v>
      </c>
      <c r="AA13" s="48">
        <f t="shared" si="10"/>
        <v>-5.3223006944858361E-2</v>
      </c>
      <c r="AB13" s="54">
        <f t="shared" si="11"/>
        <v>3.1901682116287654E-2</v>
      </c>
      <c r="AC13" s="66">
        <f t="shared" si="12"/>
        <v>23.22</v>
      </c>
      <c r="AD13" s="50">
        <f t="shared" si="13"/>
        <v>-7.5847804095319271E-2</v>
      </c>
      <c r="AE13" s="67">
        <f t="shared" si="14"/>
        <v>4.9693552378780682E-2</v>
      </c>
      <c r="AF13" s="68">
        <f t="shared" si="15"/>
        <v>26.12</v>
      </c>
      <c r="AG13" s="51">
        <f t="shared" si="16"/>
        <v>0.33034314005867066</v>
      </c>
      <c r="AH13" s="69">
        <f t="shared" si="17"/>
        <v>4.6423899689551261E-2</v>
      </c>
      <c r="AI13" s="66">
        <f t="shared" si="18"/>
        <v>20.92</v>
      </c>
      <c r="AJ13" s="50">
        <f t="shared" si="19"/>
        <v>9.6531917680381649E-2</v>
      </c>
      <c r="AK13" s="67">
        <f t="shared" si="20"/>
        <v>6.4677899741985304E-2</v>
      </c>
      <c r="AL13" s="62">
        <f t="shared" si="21"/>
        <v>13.32</v>
      </c>
      <c r="AM13" s="48">
        <f t="shared" si="22"/>
        <v>-0.96177120418098083</v>
      </c>
      <c r="AN13" s="54">
        <f t="shared" si="23"/>
        <v>5.0679449749904681E-2</v>
      </c>
      <c r="AO13" s="70">
        <f t="shared" si="24"/>
        <v>19.655000000000001</v>
      </c>
      <c r="AP13" s="50">
        <f t="shared" si="25"/>
        <v>1.0048445151766761</v>
      </c>
      <c r="AQ13" s="67">
        <f t="shared" si="26"/>
        <v>9.3414605371324996E-2</v>
      </c>
      <c r="AR13" s="62">
        <f t="shared" si="27"/>
        <v>6.7950000000000008</v>
      </c>
      <c r="AS13" s="48">
        <f t="shared" si="28"/>
        <v>-9.3041725592604888E-2</v>
      </c>
      <c r="AT13" s="54">
        <f t="shared" si="29"/>
        <v>0.27162836676039748</v>
      </c>
      <c r="AU13" s="66">
        <f t="shared" si="30"/>
        <v>3.8041666666666667</v>
      </c>
      <c r="AV13" s="50">
        <f t="shared" si="31"/>
        <v>-0.68824081972929674</v>
      </c>
      <c r="AW13" s="67">
        <f t="shared" si="32"/>
        <v>0.31752182400512713</v>
      </c>
      <c r="AX13" s="57">
        <f t="shared" si="33"/>
        <v>2.4475000000000002</v>
      </c>
      <c r="AY13" s="48">
        <f t="shared" si="34"/>
        <v>-1.0837405344656428</v>
      </c>
      <c r="AZ13" s="54">
        <f t="shared" si="35"/>
        <v>0.1796018381463183</v>
      </c>
    </row>
    <row r="14" spans="1:52" x14ac:dyDescent="0.3">
      <c r="A14" s="1">
        <v>1971</v>
      </c>
      <c r="B14">
        <v>1.74</v>
      </c>
      <c r="C14">
        <v>4.2300000000000004</v>
      </c>
      <c r="D14">
        <v>2.77</v>
      </c>
      <c r="E14">
        <v>11.07</v>
      </c>
      <c r="F14">
        <v>15.76</v>
      </c>
      <c r="G14">
        <v>35.83</v>
      </c>
      <c r="H14">
        <v>65.5</v>
      </c>
      <c r="I14">
        <v>44.96</v>
      </c>
      <c r="J14">
        <v>126.31</v>
      </c>
      <c r="M14" s="1">
        <v>1971</v>
      </c>
      <c r="N14">
        <f t="shared" si="0"/>
        <v>20.88</v>
      </c>
      <c r="O14">
        <f t="shared" si="1"/>
        <v>25.380000000000003</v>
      </c>
      <c r="P14">
        <f t="shared" si="2"/>
        <v>11.08</v>
      </c>
      <c r="Q14">
        <f t="shared" si="3"/>
        <v>22.14</v>
      </c>
      <c r="R14">
        <f t="shared" si="4"/>
        <v>15.76</v>
      </c>
      <c r="S14">
        <f t="shared" si="5"/>
        <v>17.914999999999999</v>
      </c>
      <c r="T14">
        <f t="shared" si="6"/>
        <v>10.916666666666666</v>
      </c>
      <c r="U14">
        <f t="shared" si="7"/>
        <v>3.7466666666666666</v>
      </c>
      <c r="V14">
        <f t="shared" si="8"/>
        <v>5.2629166666666665</v>
      </c>
      <c r="Y14" s="21">
        <v>1969</v>
      </c>
      <c r="Z14" s="62">
        <f t="shared" si="9"/>
        <v>14.76</v>
      </c>
      <c r="AA14" s="48">
        <f t="shared" si="10"/>
        <v>-0.74390324974071975</v>
      </c>
      <c r="AB14" s="54">
        <f t="shared" si="11"/>
        <v>2.2284053598087425E-2</v>
      </c>
      <c r="AC14" s="66">
        <f t="shared" si="12"/>
        <v>25.619999999999997</v>
      </c>
      <c r="AD14" s="50">
        <f t="shared" si="13"/>
        <v>0.17768246029014889</v>
      </c>
      <c r="AE14" s="67">
        <f t="shared" si="14"/>
        <v>4.910373368223149E-2</v>
      </c>
      <c r="AF14" s="68">
        <f t="shared" si="15"/>
        <v>9.76</v>
      </c>
      <c r="AG14" s="51">
        <f t="shared" si="16"/>
        <v>-1.3602972472280408</v>
      </c>
      <c r="AH14" s="69">
        <f t="shared" si="17"/>
        <v>1.0483265994610011E-2</v>
      </c>
      <c r="AI14" s="66">
        <f t="shared" si="18"/>
        <v>17.440000000000001</v>
      </c>
      <c r="AJ14" s="50">
        <f t="shared" si="19"/>
        <v>-0.38268502030496243</v>
      </c>
      <c r="AK14" s="67">
        <f t="shared" si="20"/>
        <v>5.9763869423624896E-2</v>
      </c>
      <c r="AL14" s="62">
        <f t="shared" si="21"/>
        <v>20.25</v>
      </c>
      <c r="AM14" s="48">
        <f t="shared" si="22"/>
        <v>0.47065399353537507</v>
      </c>
      <c r="AN14" s="54">
        <f t="shared" si="23"/>
        <v>8.8661705548035388E-2</v>
      </c>
      <c r="AO14" s="70">
        <f t="shared" si="24"/>
        <v>13.99</v>
      </c>
      <c r="AP14" s="50">
        <f t="shared" si="25"/>
        <v>-0.62052322798154236</v>
      </c>
      <c r="AQ14" s="67">
        <f t="shared" si="26"/>
        <v>0.10655018179020594</v>
      </c>
      <c r="AR14" s="62">
        <f t="shared" si="27"/>
        <v>6.9433333333333325</v>
      </c>
      <c r="AS14" s="48">
        <f t="shared" si="28"/>
        <v>-7.2608528950024237E-3</v>
      </c>
      <c r="AT14" s="54">
        <f t="shared" si="29"/>
        <v>0.27283690862093207</v>
      </c>
      <c r="AU14" s="66">
        <f t="shared" si="30"/>
        <v>4.08</v>
      </c>
      <c r="AV14" s="50">
        <f t="shared" si="31"/>
        <v>-0.43716692774134902</v>
      </c>
      <c r="AW14" s="67">
        <f t="shared" si="32"/>
        <v>0.38427923402663611</v>
      </c>
      <c r="AX14" s="57">
        <f t="shared" si="33"/>
        <v>2.6937500000000001</v>
      </c>
      <c r="AY14" s="48">
        <f t="shared" si="34"/>
        <v>-0.85954974869463385</v>
      </c>
      <c r="AZ14" s="54">
        <f t="shared" si="35"/>
        <v>0.25986689047420897</v>
      </c>
    </row>
    <row r="15" spans="1:52" x14ac:dyDescent="0.3">
      <c r="A15" s="1">
        <v>1972</v>
      </c>
      <c r="B15">
        <v>2.02</v>
      </c>
      <c r="C15">
        <v>2.92</v>
      </c>
      <c r="D15">
        <v>7.09</v>
      </c>
      <c r="E15">
        <v>14.38</v>
      </c>
      <c r="F15">
        <v>12.56</v>
      </c>
      <c r="G15">
        <v>19.22</v>
      </c>
      <c r="H15">
        <v>32.94</v>
      </c>
      <c r="I15">
        <v>45.12</v>
      </c>
      <c r="J15">
        <v>86.32</v>
      </c>
      <c r="M15" s="1">
        <v>1972</v>
      </c>
      <c r="N15">
        <f t="shared" si="0"/>
        <v>24.240000000000002</v>
      </c>
      <c r="O15">
        <f t="shared" si="1"/>
        <v>17.52</v>
      </c>
      <c r="P15">
        <f t="shared" si="2"/>
        <v>28.36</v>
      </c>
      <c r="Q15">
        <f t="shared" si="3"/>
        <v>28.76</v>
      </c>
      <c r="R15">
        <f t="shared" si="4"/>
        <v>12.56</v>
      </c>
      <c r="S15">
        <f t="shared" si="5"/>
        <v>9.61</v>
      </c>
      <c r="T15">
        <f t="shared" si="6"/>
        <v>5.4899999999999993</v>
      </c>
      <c r="U15">
        <f t="shared" si="7"/>
        <v>3.76</v>
      </c>
      <c r="V15">
        <f t="shared" si="8"/>
        <v>3.5966666666666662</v>
      </c>
      <c r="Y15" s="21">
        <v>1970</v>
      </c>
      <c r="Z15" s="62">
        <f t="shared" si="9"/>
        <v>17.64</v>
      </c>
      <c r="AA15" s="48">
        <f t="shared" si="10"/>
        <v>-0.54888765177482945</v>
      </c>
      <c r="AB15" s="54">
        <f t="shared" si="11"/>
        <v>2.661998080196689E-2</v>
      </c>
      <c r="AC15" s="66">
        <f t="shared" si="12"/>
        <v>35.700000000000003</v>
      </c>
      <c r="AD15" s="50">
        <f t="shared" si="13"/>
        <v>1.2425095707091163</v>
      </c>
      <c r="AE15" s="67">
        <f t="shared" si="14"/>
        <v>2.9302044558961717E-2</v>
      </c>
      <c r="AF15" s="68">
        <f t="shared" si="15"/>
        <v>23.44</v>
      </c>
      <c r="AG15" s="51">
        <f t="shared" si="16"/>
        <v>5.339226976964951E-2</v>
      </c>
      <c r="AH15" s="69">
        <f t="shared" si="17"/>
        <v>4.8688082909151748E-2</v>
      </c>
      <c r="AI15" s="66">
        <f t="shared" si="18"/>
        <v>15.24</v>
      </c>
      <c r="AJ15" s="50">
        <f t="shared" si="19"/>
        <v>-0.68563825696236402</v>
      </c>
      <c r="AK15" s="67">
        <f t="shared" si="20"/>
        <v>4.8160166485528982E-2</v>
      </c>
      <c r="AL15" s="62">
        <f t="shared" si="21"/>
        <v>18.649999999999999</v>
      </c>
      <c r="AM15" s="48">
        <f t="shared" si="22"/>
        <v>0.13993533316796211</v>
      </c>
      <c r="AN15" s="54">
        <f t="shared" si="23"/>
        <v>9.6614219005457511E-2</v>
      </c>
      <c r="AO15" s="70">
        <f t="shared" si="24"/>
        <v>12.025</v>
      </c>
      <c r="AP15" s="50">
        <f t="shared" si="25"/>
        <v>-1.1843092147963523</v>
      </c>
      <c r="AQ15" s="67">
        <f t="shared" si="26"/>
        <v>4.578125516350641E-2</v>
      </c>
      <c r="AR15" s="62">
        <f t="shared" si="27"/>
        <v>5.1066666666666665</v>
      </c>
      <c r="AS15" s="48">
        <f t="shared" si="28"/>
        <v>-1.0694015462967885</v>
      </c>
      <c r="AT15" s="54">
        <f t="shared" si="29"/>
        <v>0.11729203848713329</v>
      </c>
      <c r="AU15" s="66">
        <f t="shared" si="30"/>
        <v>5.1100000000000003</v>
      </c>
      <c r="AV15" s="50">
        <f t="shared" si="31"/>
        <v>0.5003778773858516</v>
      </c>
      <c r="AW15" s="67">
        <f t="shared" si="32"/>
        <v>0.38600011156100061</v>
      </c>
      <c r="AX15" s="57">
        <f t="shared" si="33"/>
        <v>3.6966666666666668</v>
      </c>
      <c r="AY15" s="48">
        <f t="shared" si="34"/>
        <v>5.3525075926041096E-2</v>
      </c>
      <c r="AZ15" s="54">
        <f t="shared" si="35"/>
        <v>0.42893674517910013</v>
      </c>
    </row>
    <row r="16" spans="1:52" x14ac:dyDescent="0.3">
      <c r="A16" s="1">
        <v>1973</v>
      </c>
      <c r="B16">
        <v>0.83</v>
      </c>
      <c r="C16">
        <v>5</v>
      </c>
      <c r="D16">
        <v>4.8499999999999996</v>
      </c>
      <c r="E16">
        <v>9.17</v>
      </c>
      <c r="F16">
        <v>19.05</v>
      </c>
      <c r="G16">
        <v>31.48</v>
      </c>
      <c r="H16">
        <v>43.18</v>
      </c>
      <c r="I16">
        <v>58.64</v>
      </c>
      <c r="J16">
        <v>80.349999999999994</v>
      </c>
      <c r="M16" s="1">
        <v>1973</v>
      </c>
      <c r="N16">
        <f t="shared" si="0"/>
        <v>9.9599999999999991</v>
      </c>
      <c r="O16">
        <f t="shared" si="1"/>
        <v>30</v>
      </c>
      <c r="P16">
        <f t="shared" si="2"/>
        <v>19.399999999999999</v>
      </c>
      <c r="Q16">
        <f t="shared" si="3"/>
        <v>18.34</v>
      </c>
      <c r="R16">
        <f t="shared" si="4"/>
        <v>19.05</v>
      </c>
      <c r="S16">
        <f t="shared" si="5"/>
        <v>15.74</v>
      </c>
      <c r="T16">
        <f t="shared" si="6"/>
        <v>7.1966666666666663</v>
      </c>
      <c r="U16">
        <f t="shared" si="7"/>
        <v>4.8866666666666667</v>
      </c>
      <c r="V16">
        <f t="shared" si="8"/>
        <v>3.3479166666666664</v>
      </c>
      <c r="Y16" s="21">
        <v>1971</v>
      </c>
      <c r="Z16" s="62">
        <f t="shared" si="9"/>
        <v>20.88</v>
      </c>
      <c r="AA16" s="48">
        <f t="shared" si="10"/>
        <v>-0.32949510406320304</v>
      </c>
      <c r="AB16" s="54">
        <f t="shared" si="11"/>
        <v>3.0064036036837768E-2</v>
      </c>
      <c r="AC16" s="66">
        <f t="shared" si="12"/>
        <v>25.380000000000003</v>
      </c>
      <c r="AD16" s="50">
        <f t="shared" si="13"/>
        <v>0.15232943385160261</v>
      </c>
      <c r="AE16" s="67">
        <f t="shared" si="14"/>
        <v>4.9293438622450489E-2</v>
      </c>
      <c r="AF16" s="68">
        <f t="shared" si="15"/>
        <v>11.08</v>
      </c>
      <c r="AG16" s="51">
        <f t="shared" si="16"/>
        <v>-1.2238886096230006</v>
      </c>
      <c r="AH16" s="69">
        <f t="shared" si="17"/>
        <v>1.5034362478728037E-2</v>
      </c>
      <c r="AI16" s="66">
        <f t="shared" si="18"/>
        <v>22.14</v>
      </c>
      <c r="AJ16" s="50">
        <f t="shared" si="19"/>
        <v>0.2645332580085768</v>
      </c>
      <c r="AK16" s="67">
        <f t="shared" si="20"/>
        <v>6.2918171561644171E-2</v>
      </c>
      <c r="AL16" s="62">
        <f t="shared" si="21"/>
        <v>15.76</v>
      </c>
      <c r="AM16" s="48">
        <f t="shared" si="22"/>
        <v>-0.45742524712067667</v>
      </c>
      <c r="AN16" s="54">
        <f t="shared" si="23"/>
        <v>8.6271588762106111E-2</v>
      </c>
      <c r="AO16" s="70">
        <f t="shared" si="24"/>
        <v>17.914999999999999</v>
      </c>
      <c r="AP16" s="50">
        <f t="shared" si="25"/>
        <v>0.50561417570707268</v>
      </c>
      <c r="AQ16" s="67">
        <f t="shared" si="26"/>
        <v>0.12141865953685999</v>
      </c>
      <c r="AR16" s="62">
        <f t="shared" si="27"/>
        <v>10.916666666666666</v>
      </c>
      <c r="AS16" s="48">
        <f t="shared" si="28"/>
        <v>2.290509939364398</v>
      </c>
      <c r="AT16" s="54">
        <f t="shared" si="29"/>
        <v>6.7841619369959347E-2</v>
      </c>
      <c r="AU16" s="66">
        <f t="shared" si="30"/>
        <v>3.7466666666666666</v>
      </c>
      <c r="AV16" s="50">
        <f t="shared" si="31"/>
        <v>-0.7405794860349415</v>
      </c>
      <c r="AW16" s="67">
        <f t="shared" si="32"/>
        <v>0.30064978995812891</v>
      </c>
      <c r="AX16" s="57">
        <f t="shared" si="33"/>
        <v>5.2629166666666665</v>
      </c>
      <c r="AY16" s="48">
        <f t="shared" si="34"/>
        <v>1.479469515373119</v>
      </c>
      <c r="AZ16" s="54">
        <f t="shared" si="35"/>
        <v>0.21176744487647645</v>
      </c>
    </row>
    <row r="17" spans="1:52" x14ac:dyDescent="0.3">
      <c r="A17" s="1">
        <v>1974</v>
      </c>
      <c r="B17">
        <v>2.99</v>
      </c>
      <c r="C17">
        <v>3.04</v>
      </c>
      <c r="D17">
        <v>9.2100000000000009</v>
      </c>
      <c r="E17">
        <v>7.53</v>
      </c>
      <c r="F17">
        <v>18.66</v>
      </c>
      <c r="G17">
        <v>30.77</v>
      </c>
      <c r="H17">
        <v>48.85</v>
      </c>
      <c r="I17">
        <v>62.1</v>
      </c>
      <c r="J17">
        <v>61.22</v>
      </c>
      <c r="M17" s="1">
        <v>1974</v>
      </c>
      <c r="N17">
        <f t="shared" si="0"/>
        <v>35.880000000000003</v>
      </c>
      <c r="O17">
        <f t="shared" si="1"/>
        <v>18.240000000000002</v>
      </c>
      <c r="P17">
        <f t="shared" si="2"/>
        <v>36.840000000000003</v>
      </c>
      <c r="Q17">
        <f t="shared" si="3"/>
        <v>15.06</v>
      </c>
      <c r="R17">
        <f t="shared" si="4"/>
        <v>18.66</v>
      </c>
      <c r="S17">
        <f t="shared" si="5"/>
        <v>15.385</v>
      </c>
      <c r="T17">
        <f t="shared" si="6"/>
        <v>8.1416666666666675</v>
      </c>
      <c r="U17">
        <f t="shared" si="7"/>
        <v>5.1749999999999998</v>
      </c>
      <c r="V17">
        <f t="shared" si="8"/>
        <v>2.5508333333333333</v>
      </c>
      <c r="Y17" s="21">
        <v>1972</v>
      </c>
      <c r="Z17" s="62">
        <f t="shared" si="9"/>
        <v>24.240000000000002</v>
      </c>
      <c r="AA17" s="48">
        <f t="shared" si="10"/>
        <v>-0.10197690643633085</v>
      </c>
      <c r="AB17" s="54">
        <f t="shared" si="11"/>
        <v>3.1776262751409656E-2</v>
      </c>
      <c r="AC17" s="66">
        <f t="shared" si="12"/>
        <v>17.52</v>
      </c>
      <c r="AD17" s="50">
        <f t="shared" si="13"/>
        <v>-0.6779821820108064</v>
      </c>
      <c r="AE17" s="67">
        <f t="shared" si="14"/>
        <v>3.7222340154684681E-2</v>
      </c>
      <c r="AF17" s="68">
        <f t="shared" si="15"/>
        <v>28.36</v>
      </c>
      <c r="AG17" s="51">
        <f t="shared" si="16"/>
        <v>0.56182446447934486</v>
      </c>
      <c r="AH17" s="69">
        <f t="shared" si="17"/>
        <v>4.272748126793096E-2</v>
      </c>
      <c r="AI17" s="66">
        <f t="shared" si="18"/>
        <v>28.76</v>
      </c>
      <c r="AJ17" s="50">
        <f t="shared" si="19"/>
        <v>1.1761470883140301</v>
      </c>
      <c r="AK17" s="67">
        <f t="shared" si="20"/>
        <v>4.001764045922751E-2</v>
      </c>
      <c r="AL17" s="62">
        <f t="shared" si="21"/>
        <v>12.56</v>
      </c>
      <c r="AM17" s="48">
        <f t="shared" si="22"/>
        <v>-1.1188625678555018</v>
      </c>
      <c r="AN17" s="54">
        <f t="shared" si="23"/>
        <v>3.7999316035931117E-2</v>
      </c>
      <c r="AO17" s="70">
        <f t="shared" si="24"/>
        <v>9.61</v>
      </c>
      <c r="AP17" s="50">
        <f t="shared" si="25"/>
        <v>-1.8772064963015771</v>
      </c>
      <c r="AQ17" s="67">
        <f t="shared" si="26"/>
        <v>3.4902630418404495E-3</v>
      </c>
      <c r="AR17" s="62">
        <f t="shared" si="27"/>
        <v>5.4899999999999993</v>
      </c>
      <c r="AS17" s="48">
        <f t="shared" si="28"/>
        <v>-0.84772063932545394</v>
      </c>
      <c r="AT17" s="54">
        <f t="shared" si="29"/>
        <v>0.16772089347944977</v>
      </c>
      <c r="AU17" s="66">
        <f t="shared" si="30"/>
        <v>3.76</v>
      </c>
      <c r="AV17" s="50">
        <f t="shared" si="31"/>
        <v>-0.72844298370319793</v>
      </c>
      <c r="AW17" s="67">
        <f t="shared" si="32"/>
        <v>0.30463302059633218</v>
      </c>
      <c r="AX17" s="57">
        <f t="shared" si="33"/>
        <v>3.5966666666666662</v>
      </c>
      <c r="AY17" s="48">
        <f t="shared" si="34"/>
        <v>-3.7516867534267646E-2</v>
      </c>
      <c r="AZ17" s="54">
        <f t="shared" si="35"/>
        <v>0.42923479064604164</v>
      </c>
    </row>
    <row r="18" spans="1:52" x14ac:dyDescent="0.3">
      <c r="A18" s="1">
        <v>1975</v>
      </c>
      <c r="B18">
        <v>5.27</v>
      </c>
      <c r="C18">
        <v>4.6100000000000003</v>
      </c>
      <c r="D18">
        <v>6.56</v>
      </c>
      <c r="E18">
        <v>5.72</v>
      </c>
      <c r="F18">
        <v>17.53</v>
      </c>
      <c r="G18">
        <v>35.97</v>
      </c>
      <c r="H18">
        <v>28.39</v>
      </c>
      <c r="I18">
        <v>45.25</v>
      </c>
      <c r="J18">
        <v>78.47</v>
      </c>
      <c r="M18" s="1">
        <v>1975</v>
      </c>
      <c r="N18">
        <f t="shared" si="0"/>
        <v>63.239999999999995</v>
      </c>
      <c r="O18">
        <f t="shared" si="1"/>
        <v>27.660000000000004</v>
      </c>
      <c r="P18">
        <f t="shared" si="2"/>
        <v>26.24</v>
      </c>
      <c r="Q18">
        <f t="shared" si="3"/>
        <v>11.44</v>
      </c>
      <c r="R18">
        <f t="shared" si="4"/>
        <v>17.53</v>
      </c>
      <c r="S18">
        <f t="shared" si="5"/>
        <v>17.984999999999999</v>
      </c>
      <c r="T18">
        <f t="shared" si="6"/>
        <v>4.7316666666666665</v>
      </c>
      <c r="U18">
        <f t="shared" si="7"/>
        <v>3.7708333333333335</v>
      </c>
      <c r="V18">
        <f t="shared" si="8"/>
        <v>3.2695833333333333</v>
      </c>
      <c r="Y18" s="21">
        <v>1973</v>
      </c>
      <c r="Z18" s="62">
        <f t="shared" si="9"/>
        <v>9.9599999999999991</v>
      </c>
      <c r="AA18" s="48">
        <f t="shared" si="10"/>
        <v>-1.0689292463505369</v>
      </c>
      <c r="AB18" s="54">
        <f t="shared" si="11"/>
        <v>1.3746307983916224E-2</v>
      </c>
      <c r="AC18" s="66">
        <f t="shared" si="12"/>
        <v>30</v>
      </c>
      <c r="AD18" s="50">
        <f t="shared" si="13"/>
        <v>0.64037519279362887</v>
      </c>
      <c r="AE18" s="67">
        <f t="shared" si="14"/>
        <v>4.2155111447332368E-2</v>
      </c>
      <c r="AF18" s="68">
        <f t="shared" si="15"/>
        <v>19.399999999999999</v>
      </c>
      <c r="AG18" s="51">
        <f t="shared" si="16"/>
        <v>-0.36410083320335285</v>
      </c>
      <c r="AH18" s="69">
        <f t="shared" si="17"/>
        <v>4.522798967048914E-2</v>
      </c>
      <c r="AI18" s="66">
        <f t="shared" si="18"/>
        <v>18.34</v>
      </c>
      <c r="AJ18" s="50">
        <f t="shared" si="19"/>
        <v>-0.25874960530875296</v>
      </c>
      <c r="AK18" s="67">
        <f t="shared" si="20"/>
        <v>6.2638028427296849E-2</v>
      </c>
      <c r="AL18" s="62">
        <f t="shared" si="21"/>
        <v>19.05</v>
      </c>
      <c r="AM18" s="48">
        <f t="shared" si="22"/>
        <v>0.22261499825981573</v>
      </c>
      <c r="AN18" s="54">
        <f t="shared" si="23"/>
        <v>9.5300757729204807E-2</v>
      </c>
      <c r="AO18" s="70">
        <f t="shared" si="24"/>
        <v>15.74</v>
      </c>
      <c r="AP18" s="50">
        <f t="shared" si="25"/>
        <v>-0.11842374862993044</v>
      </c>
      <c r="AQ18" s="67">
        <f t="shared" si="26"/>
        <v>0.13438334399459292</v>
      </c>
      <c r="AR18" s="62">
        <f t="shared" si="27"/>
        <v>7.1966666666666663</v>
      </c>
      <c r="AS18" s="48">
        <f t="shared" si="28"/>
        <v>0.13924131171214083</v>
      </c>
      <c r="AT18" s="54">
        <f t="shared" si="29"/>
        <v>0.27032941393893306</v>
      </c>
      <c r="AU18" s="66">
        <f t="shared" si="30"/>
        <v>4.8866666666666667</v>
      </c>
      <c r="AV18" s="50">
        <f t="shared" si="31"/>
        <v>0.29709146332914449</v>
      </c>
      <c r="AW18" s="67">
        <f t="shared" si="32"/>
        <v>0.41258800444927968</v>
      </c>
      <c r="AX18" s="57">
        <f t="shared" si="33"/>
        <v>3.3479166666666664</v>
      </c>
      <c r="AY18" s="48">
        <f t="shared" si="34"/>
        <v>-0.26398370189178427</v>
      </c>
      <c r="AZ18" s="54">
        <f t="shared" si="35"/>
        <v>0.41347350447628017</v>
      </c>
    </row>
    <row r="19" spans="1:52" x14ac:dyDescent="0.3">
      <c r="A19" s="1">
        <v>1976</v>
      </c>
      <c r="B19">
        <v>2.64</v>
      </c>
      <c r="C19">
        <v>5.26</v>
      </c>
      <c r="D19">
        <v>3.21</v>
      </c>
      <c r="E19">
        <v>6.83</v>
      </c>
      <c r="F19">
        <v>20.38</v>
      </c>
      <c r="G19">
        <v>34.03</v>
      </c>
      <c r="H19">
        <v>32.200000000000003</v>
      </c>
      <c r="I19">
        <v>37.15</v>
      </c>
      <c r="J19">
        <v>102.45</v>
      </c>
      <c r="M19" s="1">
        <v>1976</v>
      </c>
      <c r="N19">
        <f t="shared" si="0"/>
        <v>31.68</v>
      </c>
      <c r="O19">
        <f t="shared" si="1"/>
        <v>31.56</v>
      </c>
      <c r="P19">
        <f t="shared" si="2"/>
        <v>12.84</v>
      </c>
      <c r="Q19">
        <f t="shared" si="3"/>
        <v>13.66</v>
      </c>
      <c r="R19">
        <f t="shared" si="4"/>
        <v>20.38</v>
      </c>
      <c r="S19">
        <f t="shared" si="5"/>
        <v>17.015000000000001</v>
      </c>
      <c r="T19">
        <f t="shared" si="6"/>
        <v>5.3666666666666671</v>
      </c>
      <c r="U19">
        <f t="shared" si="7"/>
        <v>3.0958333333333332</v>
      </c>
      <c r="V19">
        <f t="shared" si="8"/>
        <v>4.2687499999999998</v>
      </c>
      <c r="Y19" s="21">
        <v>1974</v>
      </c>
      <c r="Z19" s="62">
        <f t="shared" si="9"/>
        <v>35.880000000000003</v>
      </c>
      <c r="AA19" s="48">
        <f t="shared" si="10"/>
        <v>0.68621113534247558</v>
      </c>
      <c r="AB19" s="54">
        <f t="shared" si="11"/>
        <v>2.6427611027455174E-2</v>
      </c>
      <c r="AC19" s="66">
        <f t="shared" si="12"/>
        <v>18.240000000000002</v>
      </c>
      <c r="AD19" s="50">
        <f t="shared" si="13"/>
        <v>-0.60192310269516569</v>
      </c>
      <c r="AE19" s="67">
        <f t="shared" si="14"/>
        <v>3.985000664255197E-2</v>
      </c>
      <c r="AF19" s="68">
        <f t="shared" si="15"/>
        <v>36.840000000000003</v>
      </c>
      <c r="AG19" s="51">
        <f t="shared" si="16"/>
        <v>1.4381466212147556</v>
      </c>
      <c r="AH19" s="69">
        <f t="shared" si="17"/>
        <v>2.4811834240346452E-2</v>
      </c>
      <c r="AI19" s="66">
        <f t="shared" si="18"/>
        <v>15.06</v>
      </c>
      <c r="AJ19" s="50">
        <f t="shared" si="19"/>
        <v>-0.71042533996160584</v>
      </c>
      <c r="AK19" s="67">
        <f t="shared" si="20"/>
        <v>4.6969626887313667E-2</v>
      </c>
      <c r="AL19" s="62">
        <f t="shared" si="21"/>
        <v>18.66</v>
      </c>
      <c r="AM19" s="48">
        <f t="shared" si="22"/>
        <v>0.14200232479525876</v>
      </c>
      <c r="AN19" s="54">
        <f t="shared" si="23"/>
        <v>9.6587965223118105E-2</v>
      </c>
      <c r="AO19" s="70">
        <f t="shared" si="24"/>
        <v>15.385</v>
      </c>
      <c r="AP19" s="50">
        <f t="shared" si="25"/>
        <v>-0.22027821444125756</v>
      </c>
      <c r="AQ19" s="67">
        <f t="shared" si="26"/>
        <v>0.1318742128508085</v>
      </c>
      <c r="AR19" s="62">
        <f t="shared" si="27"/>
        <v>8.1416666666666675</v>
      </c>
      <c r="AS19" s="48">
        <f t="shared" si="28"/>
        <v>0.68573293889799714</v>
      </c>
      <c r="AT19" s="54">
        <f t="shared" si="29"/>
        <v>0.22575420067273025</v>
      </c>
      <c r="AU19" s="66">
        <f t="shared" si="30"/>
        <v>5.1749999999999998</v>
      </c>
      <c r="AV19" s="50">
        <f t="shared" si="31"/>
        <v>0.55954332625310166</v>
      </c>
      <c r="AW19" s="67">
        <f t="shared" si="32"/>
        <v>0.37672057746197174</v>
      </c>
      <c r="AX19" s="57">
        <f t="shared" si="33"/>
        <v>2.5508333333333333</v>
      </c>
      <c r="AY19" s="48">
        <f t="shared" si="34"/>
        <v>-0.98966385955665781</v>
      </c>
      <c r="AZ19" s="54">
        <f t="shared" si="35"/>
        <v>0.2131616027630879</v>
      </c>
    </row>
    <row r="20" spans="1:52" x14ac:dyDescent="0.3">
      <c r="A20" s="1">
        <v>1977</v>
      </c>
      <c r="B20">
        <v>2.25</v>
      </c>
      <c r="C20">
        <v>5.66</v>
      </c>
      <c r="D20">
        <v>5.27</v>
      </c>
      <c r="E20">
        <v>8.69</v>
      </c>
      <c r="F20">
        <v>12.78</v>
      </c>
      <c r="G20">
        <v>20.59</v>
      </c>
      <c r="H20">
        <v>48.15</v>
      </c>
      <c r="I20">
        <v>83.18</v>
      </c>
      <c r="J20">
        <v>124.85</v>
      </c>
      <c r="M20" s="1">
        <v>1977</v>
      </c>
      <c r="N20">
        <f t="shared" si="0"/>
        <v>27</v>
      </c>
      <c r="O20">
        <f t="shared" si="1"/>
        <v>33.96</v>
      </c>
      <c r="P20">
        <f t="shared" si="2"/>
        <v>21.08</v>
      </c>
      <c r="Q20">
        <f t="shared" si="3"/>
        <v>17.38</v>
      </c>
      <c r="R20">
        <f t="shared" si="4"/>
        <v>12.78</v>
      </c>
      <c r="S20">
        <f t="shared" si="5"/>
        <v>10.295</v>
      </c>
      <c r="T20">
        <f t="shared" si="6"/>
        <v>8.0250000000000004</v>
      </c>
      <c r="U20">
        <f t="shared" si="7"/>
        <v>6.9316666666666675</v>
      </c>
      <c r="V20">
        <f t="shared" si="8"/>
        <v>5.2020833333333334</v>
      </c>
      <c r="Y20" s="21">
        <v>1975</v>
      </c>
      <c r="Z20" s="62">
        <f t="shared" si="9"/>
        <v>63.239999999999995</v>
      </c>
      <c r="AA20" s="48">
        <f t="shared" si="10"/>
        <v>2.5388593160184327</v>
      </c>
      <c r="AB20" s="54">
        <f t="shared" si="11"/>
        <v>6.3362354853627144E-3</v>
      </c>
      <c r="AC20" s="66">
        <f t="shared" si="12"/>
        <v>27.660000000000004</v>
      </c>
      <c r="AD20" s="50">
        <f t="shared" si="13"/>
        <v>0.39318318501779764</v>
      </c>
      <c r="AE20" s="67">
        <f t="shared" si="14"/>
        <v>4.6559798421289558E-2</v>
      </c>
      <c r="AF20" s="68">
        <f t="shared" si="15"/>
        <v>26.24</v>
      </c>
      <c r="AG20" s="51">
        <f t="shared" si="16"/>
        <v>0.34274392529549225</v>
      </c>
      <c r="AH20" s="69">
        <f t="shared" si="17"/>
        <v>4.6259680487711854E-2</v>
      </c>
      <c r="AI20" s="66">
        <f t="shared" si="18"/>
        <v>11.44</v>
      </c>
      <c r="AJ20" s="50">
        <f t="shared" si="19"/>
        <v>-1.2089211202796937</v>
      </c>
      <c r="AK20" s="67">
        <f t="shared" si="20"/>
        <v>2.0759104471421062E-2</v>
      </c>
      <c r="AL20" s="62">
        <f t="shared" si="21"/>
        <v>17.53</v>
      </c>
      <c r="AM20" s="48">
        <f t="shared" si="22"/>
        <v>-9.1567729089226196E-2</v>
      </c>
      <c r="AN20" s="54">
        <f t="shared" si="23"/>
        <v>9.7101074903059595E-2</v>
      </c>
      <c r="AO20" s="70">
        <f t="shared" si="24"/>
        <v>17.984999999999999</v>
      </c>
      <c r="AP20" s="50">
        <f t="shared" si="25"/>
        <v>0.52569815488113725</v>
      </c>
      <c r="AQ20" s="67">
        <f t="shared" si="26"/>
        <v>0.12044016939837601</v>
      </c>
      <c r="AR20" s="62">
        <f t="shared" si="27"/>
        <v>4.7316666666666665</v>
      </c>
      <c r="AS20" s="48">
        <f t="shared" si="28"/>
        <v>-1.2862633031165724</v>
      </c>
      <c r="AT20" s="54">
        <f t="shared" si="29"/>
        <v>7.1946779728491186E-2</v>
      </c>
      <c r="AU20" s="66">
        <f t="shared" si="30"/>
        <v>3.7708333333333335</v>
      </c>
      <c r="AV20" s="50">
        <f t="shared" si="31"/>
        <v>-0.71858207555865583</v>
      </c>
      <c r="AW20" s="67">
        <f t="shared" si="32"/>
        <v>0.30783898687134725</v>
      </c>
      <c r="AX20" s="57">
        <f t="shared" si="33"/>
        <v>3.2695833333333333</v>
      </c>
      <c r="AY20" s="48">
        <f t="shared" si="34"/>
        <v>-0.33529989093569224</v>
      </c>
      <c r="AZ20" s="54">
        <f t="shared" si="35"/>
        <v>0.40329040957796936</v>
      </c>
    </row>
    <row r="21" spans="1:52" x14ac:dyDescent="0.3">
      <c r="A21" s="1">
        <v>1978</v>
      </c>
      <c r="B21">
        <v>0.42</v>
      </c>
      <c r="C21">
        <v>4.2300000000000004</v>
      </c>
      <c r="D21">
        <v>6.69</v>
      </c>
      <c r="E21">
        <v>5.77</v>
      </c>
      <c r="F21">
        <v>21.7</v>
      </c>
      <c r="G21">
        <v>36.39</v>
      </c>
      <c r="H21">
        <v>37.659999999999997</v>
      </c>
      <c r="I21">
        <v>36.57</v>
      </c>
      <c r="J21">
        <v>67.5</v>
      </c>
      <c r="M21" s="1">
        <v>1978</v>
      </c>
      <c r="N21">
        <f t="shared" si="0"/>
        <v>5.04</v>
      </c>
      <c r="O21">
        <f t="shared" si="1"/>
        <v>25.380000000000003</v>
      </c>
      <c r="P21">
        <f t="shared" si="2"/>
        <v>26.76</v>
      </c>
      <c r="Q21">
        <f t="shared" si="3"/>
        <v>11.54</v>
      </c>
      <c r="R21">
        <f t="shared" si="4"/>
        <v>21.7</v>
      </c>
      <c r="S21">
        <f t="shared" si="5"/>
        <v>18.195</v>
      </c>
      <c r="T21">
        <f t="shared" si="6"/>
        <v>6.2766666666666664</v>
      </c>
      <c r="U21">
        <f t="shared" si="7"/>
        <v>3.0474999999999999</v>
      </c>
      <c r="V21">
        <f t="shared" si="8"/>
        <v>2.8125</v>
      </c>
      <c r="Y21" s="21">
        <v>1976</v>
      </c>
      <c r="Z21" s="62">
        <f t="shared" si="9"/>
        <v>31.68</v>
      </c>
      <c r="AA21" s="48">
        <f t="shared" si="10"/>
        <v>0.40181338830888547</v>
      </c>
      <c r="AB21" s="54">
        <f t="shared" si="11"/>
        <v>2.9760486687322708E-2</v>
      </c>
      <c r="AC21" s="66">
        <f t="shared" si="12"/>
        <v>31.56</v>
      </c>
      <c r="AD21" s="50">
        <f t="shared" si="13"/>
        <v>0.80516986464418305</v>
      </c>
      <c r="AE21" s="67">
        <f t="shared" si="14"/>
        <v>3.8731139298503678E-2</v>
      </c>
      <c r="AF21" s="68">
        <f t="shared" si="15"/>
        <v>12.84</v>
      </c>
      <c r="AG21" s="51">
        <f t="shared" si="16"/>
        <v>-1.0420104261496135</v>
      </c>
      <c r="AH21" s="69">
        <f t="shared" si="17"/>
        <v>2.2063714667561699E-2</v>
      </c>
      <c r="AI21" s="66">
        <f t="shared" si="18"/>
        <v>13.66</v>
      </c>
      <c r="AJ21" s="50">
        <f t="shared" si="19"/>
        <v>-0.90321376328904324</v>
      </c>
      <c r="AK21" s="67">
        <f t="shared" si="20"/>
        <v>3.6952220911055836E-2</v>
      </c>
      <c r="AL21" s="62">
        <f t="shared" si="21"/>
        <v>20.38</v>
      </c>
      <c r="AM21" s="48">
        <f t="shared" si="22"/>
        <v>0.4975248846902271</v>
      </c>
      <c r="AN21" s="54">
        <f t="shared" si="23"/>
        <v>8.7752212610828592E-2</v>
      </c>
      <c r="AO21" s="70">
        <f t="shared" si="24"/>
        <v>17.015000000000001</v>
      </c>
      <c r="AP21" s="50">
        <f t="shared" si="25"/>
        <v>0.24739158632624411</v>
      </c>
      <c r="AQ21" s="67">
        <f t="shared" si="26"/>
        <v>0.13160003969179063</v>
      </c>
      <c r="AR21" s="62">
        <f t="shared" si="27"/>
        <v>5.3666666666666671</v>
      </c>
      <c r="AS21" s="48">
        <f t="shared" si="28"/>
        <v>-0.91904406156840446</v>
      </c>
      <c r="AT21" s="54">
        <f t="shared" si="29"/>
        <v>0.15157065545252013</v>
      </c>
      <c r="AU21" s="66">
        <f t="shared" si="30"/>
        <v>3.0958333333333332</v>
      </c>
      <c r="AV21" s="50">
        <f t="shared" si="31"/>
        <v>-1.3329925061031807</v>
      </c>
      <c r="AW21" s="67">
        <f t="shared" si="32"/>
        <v>9.9796630585872542E-2</v>
      </c>
      <c r="AX21" s="57">
        <f t="shared" si="33"/>
        <v>4.2687499999999998</v>
      </c>
      <c r="AY21" s="48">
        <f t="shared" si="34"/>
        <v>0.57436086080522097</v>
      </c>
      <c r="AZ21" s="54">
        <f t="shared" si="35"/>
        <v>0.37438744755981662</v>
      </c>
    </row>
    <row r="22" spans="1:52" x14ac:dyDescent="0.3">
      <c r="A22" s="1">
        <v>1979</v>
      </c>
      <c r="B22">
        <v>0.97</v>
      </c>
      <c r="C22">
        <v>3.12</v>
      </c>
      <c r="D22">
        <v>4.88</v>
      </c>
      <c r="E22">
        <v>9.0299999999999994</v>
      </c>
      <c r="F22">
        <v>13.75</v>
      </c>
      <c r="G22">
        <v>30.92</v>
      </c>
      <c r="H22">
        <v>33.65</v>
      </c>
      <c r="I22">
        <v>63.35</v>
      </c>
      <c r="J22">
        <v>71.25</v>
      </c>
      <c r="M22" s="1">
        <v>1979</v>
      </c>
      <c r="N22">
        <f t="shared" si="0"/>
        <v>11.64</v>
      </c>
      <c r="O22">
        <f t="shared" si="1"/>
        <v>18.72</v>
      </c>
      <c r="P22">
        <f t="shared" si="2"/>
        <v>19.52</v>
      </c>
      <c r="Q22">
        <f t="shared" si="3"/>
        <v>18.059999999999999</v>
      </c>
      <c r="R22">
        <f t="shared" si="4"/>
        <v>13.75</v>
      </c>
      <c r="S22">
        <f t="shared" si="5"/>
        <v>15.46</v>
      </c>
      <c r="T22">
        <f t="shared" si="6"/>
        <v>5.6083333333333334</v>
      </c>
      <c r="U22">
        <f t="shared" si="7"/>
        <v>5.2791666666666668</v>
      </c>
      <c r="V22">
        <f t="shared" si="8"/>
        <v>2.96875</v>
      </c>
      <c r="Y22" s="21">
        <v>1977</v>
      </c>
      <c r="Z22" s="62">
        <f t="shared" si="9"/>
        <v>27</v>
      </c>
      <c r="AA22" s="48">
        <f t="shared" si="10"/>
        <v>8.4913041614313844E-2</v>
      </c>
      <c r="AB22" s="54">
        <f t="shared" si="11"/>
        <v>3.1835924296329907E-2</v>
      </c>
      <c r="AC22" s="66">
        <f t="shared" si="12"/>
        <v>33.96</v>
      </c>
      <c r="AD22" s="50">
        <f t="shared" si="13"/>
        <v>1.0587001290296516</v>
      </c>
      <c r="AE22" s="67">
        <f t="shared" si="14"/>
        <v>3.3222228423539016E-2</v>
      </c>
      <c r="AF22" s="68">
        <f t="shared" si="15"/>
        <v>21.08</v>
      </c>
      <c r="AG22" s="51">
        <f t="shared" si="16"/>
        <v>-0.19048983988784707</v>
      </c>
      <c r="AH22" s="69">
        <f t="shared" si="17"/>
        <v>4.7821837606456363E-2</v>
      </c>
      <c r="AI22" s="66">
        <f t="shared" si="18"/>
        <v>17.38</v>
      </c>
      <c r="AJ22" s="50">
        <f t="shared" si="19"/>
        <v>-0.39094738130471007</v>
      </c>
      <c r="AK22" s="67">
        <f t="shared" si="20"/>
        <v>5.9531111439682149E-2</v>
      </c>
      <c r="AL22" s="62">
        <f t="shared" si="21"/>
        <v>12.78</v>
      </c>
      <c r="AM22" s="48">
        <f t="shared" si="22"/>
        <v>-1.0733887520549827</v>
      </c>
      <c r="AN22" s="54">
        <f t="shared" si="23"/>
        <v>4.1603683515127242E-2</v>
      </c>
      <c r="AO22" s="70">
        <f t="shared" si="24"/>
        <v>10.295</v>
      </c>
      <c r="AP22" s="50">
        <f t="shared" si="25"/>
        <v>-1.6806704143839459</v>
      </c>
      <c r="AQ22" s="67">
        <f t="shared" si="26"/>
        <v>9.2028191598038673E-3</v>
      </c>
      <c r="AR22" s="62">
        <f t="shared" si="27"/>
        <v>8.0250000000000004</v>
      </c>
      <c r="AS22" s="48">
        <f t="shared" si="28"/>
        <v>0.6182648367762863</v>
      </c>
      <c r="AT22" s="54">
        <f t="shared" si="29"/>
        <v>0.2331675118402998</v>
      </c>
      <c r="AU22" s="66">
        <f t="shared" si="30"/>
        <v>6.9316666666666675</v>
      </c>
      <c r="AV22" s="50">
        <f t="shared" si="31"/>
        <v>2.1585275084603346</v>
      </c>
      <c r="AW22" s="67">
        <f t="shared" si="32"/>
        <v>0.12012038819168123</v>
      </c>
      <c r="AX22" s="57">
        <f t="shared" si="33"/>
        <v>5.2020833333333334</v>
      </c>
      <c r="AY22" s="48">
        <f t="shared" si="34"/>
        <v>1.424085666434765</v>
      </c>
      <c r="AZ22" s="54">
        <f t="shared" si="35"/>
        <v>0.22094251915423219</v>
      </c>
    </row>
    <row r="23" spans="1:52" x14ac:dyDescent="0.3">
      <c r="A23" s="1">
        <v>1980</v>
      </c>
      <c r="B23">
        <v>2.1</v>
      </c>
      <c r="C23">
        <v>5.58</v>
      </c>
      <c r="D23">
        <v>10.9</v>
      </c>
      <c r="E23">
        <v>12.84</v>
      </c>
      <c r="F23">
        <v>14.61</v>
      </c>
      <c r="G23">
        <v>51.12</v>
      </c>
      <c r="H23">
        <v>58.01</v>
      </c>
      <c r="I23">
        <v>43.79</v>
      </c>
      <c r="J23">
        <v>77.650000000000006</v>
      </c>
      <c r="M23" s="1">
        <v>1980</v>
      </c>
      <c r="N23">
        <f t="shared" si="0"/>
        <v>25.200000000000003</v>
      </c>
      <c r="O23">
        <f t="shared" si="1"/>
        <v>33.480000000000004</v>
      </c>
      <c r="P23">
        <f t="shared" si="2"/>
        <v>43.6</v>
      </c>
      <c r="Q23">
        <f t="shared" si="3"/>
        <v>25.68</v>
      </c>
      <c r="R23">
        <f t="shared" si="4"/>
        <v>14.61</v>
      </c>
      <c r="S23">
        <f t="shared" si="5"/>
        <v>25.56</v>
      </c>
      <c r="T23">
        <f t="shared" si="6"/>
        <v>9.668333333333333</v>
      </c>
      <c r="U23">
        <f t="shared" si="7"/>
        <v>3.6491666666666664</v>
      </c>
      <c r="V23">
        <f t="shared" si="8"/>
        <v>3.2354166666666671</v>
      </c>
      <c r="Y23" s="21">
        <v>1978</v>
      </c>
      <c r="Z23" s="62">
        <f t="shared" si="9"/>
        <v>5.04</v>
      </c>
      <c r="AA23" s="48">
        <f t="shared" si="10"/>
        <v>-1.4020808928755994</v>
      </c>
      <c r="AB23" s="54">
        <f t="shared" si="11"/>
        <v>6.0649982407173942E-3</v>
      </c>
      <c r="AC23" s="66">
        <f t="shared" si="12"/>
        <v>25.380000000000003</v>
      </c>
      <c r="AD23" s="50">
        <f t="shared" si="13"/>
        <v>0.15232943385160261</v>
      </c>
      <c r="AE23" s="67">
        <f t="shared" si="14"/>
        <v>4.9293438622450489E-2</v>
      </c>
      <c r="AF23" s="68">
        <f t="shared" si="15"/>
        <v>26.76</v>
      </c>
      <c r="AG23" s="51">
        <f t="shared" si="16"/>
        <v>0.39648066132172055</v>
      </c>
      <c r="AH23" s="69">
        <f t="shared" si="17"/>
        <v>4.5498105317498996E-2</v>
      </c>
      <c r="AI23" s="66">
        <f t="shared" si="18"/>
        <v>11.54</v>
      </c>
      <c r="AJ23" s="50">
        <f t="shared" si="19"/>
        <v>-1.1951505186134483</v>
      </c>
      <c r="AK23" s="67">
        <f t="shared" si="20"/>
        <v>2.1435059172160383E-2</v>
      </c>
      <c r="AL23" s="62">
        <f t="shared" si="21"/>
        <v>21.7</v>
      </c>
      <c r="AM23" s="48">
        <f t="shared" si="22"/>
        <v>0.77036777949334256</v>
      </c>
      <c r="AN23" s="54">
        <f t="shared" si="23"/>
        <v>7.7235957682722275E-2</v>
      </c>
      <c r="AO23" s="70">
        <f t="shared" si="24"/>
        <v>18.195</v>
      </c>
      <c r="AP23" s="50">
        <f t="shared" si="25"/>
        <v>0.58595009240333096</v>
      </c>
      <c r="AQ23" s="67">
        <f t="shared" si="26"/>
        <v>0.11738590877197962</v>
      </c>
      <c r="AR23" s="62">
        <f t="shared" si="27"/>
        <v>6.2766666666666664</v>
      </c>
      <c r="AS23" s="48">
        <f t="shared" si="28"/>
        <v>-0.39279286501906246</v>
      </c>
      <c r="AT23" s="54">
        <f t="shared" si="29"/>
        <v>0.24978035051722805</v>
      </c>
      <c r="AU23" s="66">
        <f t="shared" si="30"/>
        <v>3.0474999999999999</v>
      </c>
      <c r="AV23" s="50">
        <f t="shared" si="31"/>
        <v>-1.3769873270557516</v>
      </c>
      <c r="AW23" s="67">
        <f t="shared" si="32"/>
        <v>8.7931649496293854E-2</v>
      </c>
      <c r="AX23" s="57">
        <f t="shared" si="33"/>
        <v>2.8125</v>
      </c>
      <c r="AY23" s="48">
        <f t="shared" si="34"/>
        <v>-0.75143744083551789</v>
      </c>
      <c r="AZ23" s="54">
        <f t="shared" si="35"/>
        <v>0.29711191390506286</v>
      </c>
    </row>
    <row r="24" spans="1:52" x14ac:dyDescent="0.3">
      <c r="A24" s="1">
        <v>1981</v>
      </c>
      <c r="B24">
        <v>1.56</v>
      </c>
      <c r="C24">
        <v>4.43</v>
      </c>
      <c r="D24">
        <v>4.59</v>
      </c>
      <c r="E24">
        <v>11.13</v>
      </c>
      <c r="F24">
        <v>21.34</v>
      </c>
      <c r="G24">
        <v>34.94</v>
      </c>
      <c r="H24">
        <v>42.2</v>
      </c>
      <c r="I24">
        <v>76.03</v>
      </c>
      <c r="J24">
        <v>73.59</v>
      </c>
      <c r="M24" s="1">
        <v>1981</v>
      </c>
      <c r="N24">
        <f t="shared" si="0"/>
        <v>18.72</v>
      </c>
      <c r="O24">
        <f t="shared" si="1"/>
        <v>26.58</v>
      </c>
      <c r="P24">
        <f t="shared" si="2"/>
        <v>18.36</v>
      </c>
      <c r="Q24">
        <f t="shared" si="3"/>
        <v>22.26</v>
      </c>
      <c r="R24">
        <f t="shared" si="4"/>
        <v>21.34</v>
      </c>
      <c r="S24">
        <f t="shared" si="5"/>
        <v>17.47</v>
      </c>
      <c r="T24">
        <f t="shared" si="6"/>
        <v>7.0333333333333341</v>
      </c>
      <c r="U24">
        <f t="shared" si="7"/>
        <v>6.3358333333333334</v>
      </c>
      <c r="V24">
        <f t="shared" si="8"/>
        <v>3.0662500000000001</v>
      </c>
      <c r="Y24" s="21">
        <v>1979</v>
      </c>
      <c r="Z24" s="62">
        <f t="shared" si="9"/>
        <v>11.64</v>
      </c>
      <c r="AA24" s="48">
        <f t="shared" si="10"/>
        <v>-0.95517014753710083</v>
      </c>
      <c r="AB24" s="54">
        <f t="shared" si="11"/>
        <v>1.67795002555703E-2</v>
      </c>
      <c r="AC24" s="66">
        <f t="shared" si="12"/>
        <v>18.72</v>
      </c>
      <c r="AD24" s="50">
        <f t="shared" si="13"/>
        <v>-0.5512170498180724</v>
      </c>
      <c r="AE24" s="67">
        <f t="shared" si="14"/>
        <v>4.1457924906215589E-2</v>
      </c>
      <c r="AF24" s="68">
        <f t="shared" si="15"/>
        <v>19.52</v>
      </c>
      <c r="AG24" s="51">
        <f t="shared" si="16"/>
        <v>-0.35170004796653087</v>
      </c>
      <c r="AH24" s="69">
        <f t="shared" si="17"/>
        <v>4.5469992143882421E-2</v>
      </c>
      <c r="AI24" s="66">
        <f t="shared" si="18"/>
        <v>18.059999999999999</v>
      </c>
      <c r="AJ24" s="50">
        <f t="shared" si="19"/>
        <v>-0.29730728997424061</v>
      </c>
      <c r="AK24" s="67">
        <f t="shared" si="20"/>
        <v>6.1868475462812968E-2</v>
      </c>
      <c r="AL24" s="62">
        <f t="shared" si="21"/>
        <v>13.75</v>
      </c>
      <c r="AM24" s="48">
        <f t="shared" si="22"/>
        <v>-0.87289056420723876</v>
      </c>
      <c r="AN24" s="54">
        <f t="shared" si="23"/>
        <v>5.7924817768611622E-2</v>
      </c>
      <c r="AO24" s="70">
        <f t="shared" si="24"/>
        <v>15.46</v>
      </c>
      <c r="AP24" s="50">
        <f t="shared" si="25"/>
        <v>-0.19875966532618816</v>
      </c>
      <c r="AQ24" s="67">
        <f t="shared" si="26"/>
        <v>0.13253737650142117</v>
      </c>
      <c r="AR24" s="62">
        <f t="shared" si="27"/>
        <v>5.6083333333333334</v>
      </c>
      <c r="AS24" s="48">
        <f t="shared" si="28"/>
        <v>-0.77928870717343279</v>
      </c>
      <c r="AT24" s="54">
        <f t="shared" si="29"/>
        <v>0.1827772488065503</v>
      </c>
      <c r="AU24" s="66">
        <f t="shared" si="30"/>
        <v>5.2791666666666668</v>
      </c>
      <c r="AV24" s="50">
        <f t="shared" si="31"/>
        <v>0.65435975071984953</v>
      </c>
      <c r="AW24" s="67">
        <f t="shared" si="32"/>
        <v>0.36082120277163493</v>
      </c>
      <c r="AX24" s="57">
        <f t="shared" si="33"/>
        <v>2.96875</v>
      </c>
      <c r="AY24" s="48">
        <f t="shared" si="34"/>
        <v>-0.60918440417878617</v>
      </c>
      <c r="AZ24" s="54">
        <f t="shared" si="35"/>
        <v>0.34137109821995942</v>
      </c>
    </row>
    <row r="25" spans="1:52" x14ac:dyDescent="0.3">
      <c r="A25" s="1">
        <v>1982</v>
      </c>
      <c r="B25">
        <v>0.36</v>
      </c>
      <c r="C25">
        <v>1.67</v>
      </c>
      <c r="D25">
        <v>3.23</v>
      </c>
      <c r="E25">
        <v>9.2799999999999994</v>
      </c>
      <c r="F25">
        <v>23.37</v>
      </c>
      <c r="G25">
        <v>30.1</v>
      </c>
      <c r="H25">
        <v>34.21</v>
      </c>
      <c r="I25">
        <v>37.54</v>
      </c>
      <c r="J25">
        <v>77.290000000000006</v>
      </c>
      <c r="M25" s="1">
        <v>1982</v>
      </c>
      <c r="N25">
        <f t="shared" si="0"/>
        <v>4.32</v>
      </c>
      <c r="O25">
        <f t="shared" si="1"/>
        <v>10.02</v>
      </c>
      <c r="P25">
        <f t="shared" si="2"/>
        <v>12.92</v>
      </c>
      <c r="Q25">
        <f t="shared" si="3"/>
        <v>18.559999999999999</v>
      </c>
      <c r="R25">
        <f t="shared" si="4"/>
        <v>23.37</v>
      </c>
      <c r="S25">
        <f t="shared" si="5"/>
        <v>15.05</v>
      </c>
      <c r="T25">
        <f t="shared" si="6"/>
        <v>5.7016666666666671</v>
      </c>
      <c r="U25">
        <f t="shared" si="7"/>
        <v>3.1283333333333334</v>
      </c>
      <c r="V25">
        <f t="shared" si="8"/>
        <v>3.2204166666666669</v>
      </c>
      <c r="Y25" s="21">
        <v>1980</v>
      </c>
      <c r="Z25" s="62">
        <f t="shared" si="9"/>
        <v>25.200000000000003</v>
      </c>
      <c r="AA25" s="48">
        <f t="shared" si="10"/>
        <v>-3.6971707114367376E-2</v>
      </c>
      <c r="AB25" s="54">
        <f t="shared" si="11"/>
        <v>3.1925612714329595E-2</v>
      </c>
      <c r="AC25" s="66">
        <f t="shared" si="12"/>
        <v>33.480000000000004</v>
      </c>
      <c r="AD25" s="50">
        <f t="shared" si="13"/>
        <v>1.0079940761525583</v>
      </c>
      <c r="AE25" s="67">
        <f t="shared" si="14"/>
        <v>3.4325254918493996E-2</v>
      </c>
      <c r="AF25" s="68">
        <f t="shared" si="15"/>
        <v>43.6</v>
      </c>
      <c r="AG25" s="51">
        <f t="shared" si="16"/>
        <v>2.1367241895557192</v>
      </c>
      <c r="AH25" s="69">
        <f t="shared" si="17"/>
        <v>1.3902512106793198E-2</v>
      </c>
      <c r="AI25" s="66">
        <f t="shared" si="18"/>
        <v>25.68</v>
      </c>
      <c r="AJ25" s="50">
        <f t="shared" si="19"/>
        <v>0.75201255699366798</v>
      </c>
      <c r="AK25" s="67">
        <f t="shared" si="20"/>
        <v>5.196149667289366E-2</v>
      </c>
      <c r="AL25" s="62">
        <f t="shared" si="21"/>
        <v>14.61</v>
      </c>
      <c r="AM25" s="48">
        <f t="shared" si="22"/>
        <v>-0.69512928425975462</v>
      </c>
      <c r="AN25" s="54">
        <f t="shared" si="23"/>
        <v>7.1610152572186031E-2</v>
      </c>
      <c r="AO25" s="70">
        <f t="shared" si="24"/>
        <v>25.56</v>
      </c>
      <c r="AP25" s="50">
        <f t="shared" si="25"/>
        <v>2.6990716155031147</v>
      </c>
      <c r="AQ25" s="67">
        <f t="shared" si="26"/>
        <v>2.314211751541179E-2</v>
      </c>
      <c r="AR25" s="62">
        <f t="shared" si="27"/>
        <v>9.668333333333333</v>
      </c>
      <c r="AS25" s="48">
        <f t="shared" si="28"/>
        <v>1.5686012466620949</v>
      </c>
      <c r="AT25" s="54">
        <f t="shared" si="29"/>
        <v>0.12545699113627456</v>
      </c>
      <c r="AU25" s="66">
        <f t="shared" si="30"/>
        <v>3.6491666666666664</v>
      </c>
      <c r="AV25" s="50">
        <f t="shared" si="31"/>
        <v>-0.82932765933581742</v>
      </c>
      <c r="AW25" s="67">
        <f t="shared" si="32"/>
        <v>0.27044461772984751</v>
      </c>
      <c r="AX25" s="57">
        <f t="shared" si="33"/>
        <v>3.2354166666666671</v>
      </c>
      <c r="AY25" s="48">
        <f t="shared" si="34"/>
        <v>-0.3664058882846305</v>
      </c>
      <c r="AZ25" s="54">
        <f t="shared" si="35"/>
        <v>0.3980517263832441</v>
      </c>
    </row>
    <row r="26" spans="1:52" x14ac:dyDescent="0.3">
      <c r="A26" s="1">
        <v>1983</v>
      </c>
      <c r="B26">
        <v>2.42</v>
      </c>
      <c r="C26">
        <v>4.7</v>
      </c>
      <c r="D26">
        <v>1.89</v>
      </c>
      <c r="E26">
        <v>5.65</v>
      </c>
      <c r="F26">
        <v>11.87</v>
      </c>
      <c r="G26">
        <v>33.15</v>
      </c>
      <c r="H26">
        <v>28.4</v>
      </c>
      <c r="I26">
        <v>50.15</v>
      </c>
      <c r="J26">
        <v>68.400000000000006</v>
      </c>
      <c r="M26" s="1">
        <v>1983</v>
      </c>
      <c r="N26">
        <f t="shared" si="0"/>
        <v>29.04</v>
      </c>
      <c r="O26">
        <f t="shared" si="1"/>
        <v>28.200000000000003</v>
      </c>
      <c r="P26">
        <f t="shared" si="2"/>
        <v>7.56</v>
      </c>
      <c r="Q26">
        <f t="shared" si="3"/>
        <v>11.3</v>
      </c>
      <c r="R26">
        <f t="shared" si="4"/>
        <v>11.87</v>
      </c>
      <c r="S26">
        <f t="shared" si="5"/>
        <v>16.574999999999999</v>
      </c>
      <c r="T26">
        <f t="shared" si="6"/>
        <v>4.7333333333333334</v>
      </c>
      <c r="U26">
        <f t="shared" si="7"/>
        <v>4.1791666666666663</v>
      </c>
      <c r="V26">
        <f t="shared" si="8"/>
        <v>2.85</v>
      </c>
      <c r="Y26" s="21">
        <v>1981</v>
      </c>
      <c r="Z26" s="62">
        <f t="shared" si="9"/>
        <v>18.72</v>
      </c>
      <c r="AA26" s="48">
        <f t="shared" si="10"/>
        <v>-0.4757568025376207</v>
      </c>
      <c r="AB26" s="54">
        <f t="shared" si="11"/>
        <v>2.7955829425555037E-2</v>
      </c>
      <c r="AC26" s="66">
        <f t="shared" si="12"/>
        <v>26.58</v>
      </c>
      <c r="AD26" s="50">
        <f t="shared" si="13"/>
        <v>0.2790945660443363</v>
      </c>
      <c r="AE26" s="67">
        <f t="shared" si="14"/>
        <v>4.8099069561752958E-2</v>
      </c>
      <c r="AF26" s="68">
        <f t="shared" si="15"/>
        <v>18.36</v>
      </c>
      <c r="AG26" s="51">
        <f t="shared" si="16"/>
        <v>-0.47157430525580873</v>
      </c>
      <c r="AH26" s="69">
        <f t="shared" si="17"/>
        <v>4.2772436127439369E-2</v>
      </c>
      <c r="AI26" s="66">
        <f t="shared" si="18"/>
        <v>22.26</v>
      </c>
      <c r="AJ26" s="50">
        <f t="shared" si="19"/>
        <v>0.28105798000807158</v>
      </c>
      <c r="AK26" s="67">
        <f t="shared" si="20"/>
        <v>6.267043821449679E-2</v>
      </c>
      <c r="AL26" s="62">
        <f t="shared" si="21"/>
        <v>21.34</v>
      </c>
      <c r="AM26" s="48">
        <f t="shared" si="22"/>
        <v>0.69595608091067485</v>
      </c>
      <c r="AN26" s="54">
        <f t="shared" si="23"/>
        <v>8.028012754809867E-2</v>
      </c>
      <c r="AO26" s="70">
        <f t="shared" si="24"/>
        <v>17.47</v>
      </c>
      <c r="AP26" s="50">
        <f t="shared" si="25"/>
        <v>0.37793745095766274</v>
      </c>
      <c r="AQ26" s="67">
        <f t="shared" si="26"/>
        <v>0.12707569884037492</v>
      </c>
      <c r="AR26" s="62">
        <f t="shared" si="27"/>
        <v>7.0333333333333341</v>
      </c>
      <c r="AS26" s="48">
        <f t="shared" si="28"/>
        <v>4.4785968741746673E-2</v>
      </c>
      <c r="AT26" s="54">
        <f t="shared" si="29"/>
        <v>0.27257465787672164</v>
      </c>
      <c r="AU26" s="66">
        <f t="shared" si="30"/>
        <v>6.3358333333333334</v>
      </c>
      <c r="AV26" s="50">
        <f t="shared" si="31"/>
        <v>1.6161775605105373</v>
      </c>
      <c r="AW26" s="67">
        <f t="shared" si="32"/>
        <v>0.19012521504793367</v>
      </c>
      <c r="AX26" s="57">
        <f t="shared" si="33"/>
        <v>3.0662500000000001</v>
      </c>
      <c r="AY26" s="48">
        <f t="shared" si="34"/>
        <v>-0.52041850930498557</v>
      </c>
      <c r="AZ26" s="54">
        <f t="shared" si="35"/>
        <v>0.36518478165475549</v>
      </c>
    </row>
    <row r="27" spans="1:52" x14ac:dyDescent="0.3">
      <c r="A27" s="1">
        <v>1984</v>
      </c>
      <c r="B27">
        <v>1.05</v>
      </c>
      <c r="C27">
        <v>3.42</v>
      </c>
      <c r="D27">
        <v>6.38</v>
      </c>
      <c r="E27">
        <v>8.66</v>
      </c>
      <c r="F27">
        <v>12.91</v>
      </c>
      <c r="G27">
        <v>21.08</v>
      </c>
      <c r="H27">
        <v>49.43</v>
      </c>
      <c r="I27">
        <v>91.09</v>
      </c>
      <c r="J27">
        <v>144.71</v>
      </c>
      <c r="M27" s="1">
        <v>1984</v>
      </c>
      <c r="N27">
        <f t="shared" si="0"/>
        <v>12.600000000000001</v>
      </c>
      <c r="O27">
        <f t="shared" si="1"/>
        <v>20.52</v>
      </c>
      <c r="P27">
        <f t="shared" si="2"/>
        <v>25.52</v>
      </c>
      <c r="Q27">
        <f t="shared" si="3"/>
        <v>17.32</v>
      </c>
      <c r="R27">
        <f t="shared" si="4"/>
        <v>12.91</v>
      </c>
      <c r="S27">
        <f t="shared" si="5"/>
        <v>10.54</v>
      </c>
      <c r="T27">
        <f t="shared" si="6"/>
        <v>8.2383333333333333</v>
      </c>
      <c r="U27">
        <f t="shared" si="7"/>
        <v>7.5908333333333333</v>
      </c>
      <c r="V27">
        <f t="shared" si="8"/>
        <v>6.029583333333334</v>
      </c>
      <c r="Y27" s="21">
        <v>1982</v>
      </c>
      <c r="Z27" s="62">
        <f t="shared" si="9"/>
        <v>4.32</v>
      </c>
      <c r="AA27" s="48">
        <f t="shared" si="10"/>
        <v>-1.4508347923670719</v>
      </c>
      <c r="AB27" s="54">
        <f t="shared" si="11"/>
        <v>5.1979302875979306E-3</v>
      </c>
      <c r="AC27" s="66">
        <f t="shared" si="12"/>
        <v>10.02</v>
      </c>
      <c r="AD27" s="50">
        <f t="shared" si="13"/>
        <v>-1.4702642582153949</v>
      </c>
      <c r="AE27" s="67">
        <f t="shared" si="14"/>
        <v>7.6042355929656202E-3</v>
      </c>
      <c r="AF27" s="68">
        <f t="shared" si="15"/>
        <v>12.92</v>
      </c>
      <c r="AG27" s="51">
        <f t="shared" si="16"/>
        <v>-1.0337432359917322</v>
      </c>
      <c r="AH27" s="69">
        <f t="shared" si="17"/>
        <v>2.2398798807237313E-2</v>
      </c>
      <c r="AI27" s="66">
        <f t="shared" si="18"/>
        <v>18.559999999999999</v>
      </c>
      <c r="AJ27" s="50">
        <f t="shared" si="19"/>
        <v>-0.22845428164301299</v>
      </c>
      <c r="AK27" s="67">
        <f t="shared" si="20"/>
        <v>6.3163752922118066E-2</v>
      </c>
      <c r="AL27" s="62">
        <f t="shared" si="21"/>
        <v>23.37</v>
      </c>
      <c r="AM27" s="48">
        <f t="shared" si="22"/>
        <v>1.11555538125183</v>
      </c>
      <c r="AN27" s="54">
        <f t="shared" si="23"/>
        <v>6.2601367403318717E-2</v>
      </c>
      <c r="AO27" s="70">
        <f t="shared" si="24"/>
        <v>15.05</v>
      </c>
      <c r="AP27" s="50">
        <f t="shared" si="25"/>
        <v>-0.31639440048856587</v>
      </c>
      <c r="AQ27" s="67">
        <f t="shared" si="26"/>
        <v>0.12802388431858783</v>
      </c>
      <c r="AR27" s="62">
        <f t="shared" si="27"/>
        <v>5.7016666666666671</v>
      </c>
      <c r="AS27" s="48">
        <f t="shared" si="28"/>
        <v>-0.72531422547606417</v>
      </c>
      <c r="AT27" s="54">
        <f t="shared" si="29"/>
        <v>0.19418957423562813</v>
      </c>
      <c r="AU27" s="66">
        <f t="shared" si="30"/>
        <v>3.1283333333333334</v>
      </c>
      <c r="AV27" s="50">
        <f t="shared" si="31"/>
        <v>-1.3034097816695551</v>
      </c>
      <c r="AW27" s="67">
        <f t="shared" si="32"/>
        <v>0.10821254508597471</v>
      </c>
      <c r="AX27" s="57">
        <f t="shared" si="33"/>
        <v>3.2204166666666669</v>
      </c>
      <c r="AY27" s="48">
        <f t="shared" si="34"/>
        <v>-0.38006217980367685</v>
      </c>
      <c r="AZ27" s="54">
        <f t="shared" si="35"/>
        <v>0.39559990970650927</v>
      </c>
    </row>
    <row r="28" spans="1:52" x14ac:dyDescent="0.3">
      <c r="A28" s="1">
        <v>1985</v>
      </c>
      <c r="B28">
        <v>0.86</v>
      </c>
      <c r="C28">
        <v>4.83</v>
      </c>
      <c r="D28">
        <v>3.32</v>
      </c>
      <c r="E28">
        <v>4.63</v>
      </c>
      <c r="F28">
        <v>14.82</v>
      </c>
      <c r="G28">
        <v>30.66</v>
      </c>
      <c r="H28">
        <v>35.21</v>
      </c>
      <c r="I28">
        <v>74.91</v>
      </c>
      <c r="J28">
        <v>65.989999999999995</v>
      </c>
      <c r="M28" s="1">
        <v>1985</v>
      </c>
      <c r="N28">
        <f t="shared" si="0"/>
        <v>10.32</v>
      </c>
      <c r="O28">
        <f t="shared" si="1"/>
        <v>28.98</v>
      </c>
      <c r="P28">
        <f t="shared" si="2"/>
        <v>13.28</v>
      </c>
      <c r="Q28">
        <f t="shared" si="3"/>
        <v>9.26</v>
      </c>
      <c r="R28">
        <f t="shared" si="4"/>
        <v>14.82</v>
      </c>
      <c r="S28">
        <f t="shared" si="5"/>
        <v>15.33</v>
      </c>
      <c r="T28">
        <f t="shared" si="6"/>
        <v>5.8683333333333332</v>
      </c>
      <c r="U28">
        <f t="shared" si="7"/>
        <v>6.2424999999999997</v>
      </c>
      <c r="V28">
        <f t="shared" si="8"/>
        <v>2.7495833333333333</v>
      </c>
      <c r="Y28" s="21">
        <v>1983</v>
      </c>
      <c r="Z28" s="62">
        <f t="shared" si="9"/>
        <v>29.04</v>
      </c>
      <c r="AA28" s="48">
        <f t="shared" si="10"/>
        <v>0.22304909017348604</v>
      </c>
      <c r="AB28" s="54">
        <f t="shared" si="11"/>
        <v>3.121740794552998E-2</v>
      </c>
      <c r="AC28" s="66">
        <f t="shared" si="12"/>
        <v>28.200000000000003</v>
      </c>
      <c r="AD28" s="50">
        <f t="shared" si="13"/>
        <v>0.45022749450452793</v>
      </c>
      <c r="AE28" s="67">
        <f t="shared" si="14"/>
        <v>4.5655092540833268E-2</v>
      </c>
      <c r="AF28" s="68">
        <f t="shared" si="15"/>
        <v>7.56</v>
      </c>
      <c r="AG28" s="51">
        <f t="shared" si="16"/>
        <v>-1.5876449765697747</v>
      </c>
      <c r="AH28" s="69">
        <f t="shared" si="17"/>
        <v>4.8659673500473059E-3</v>
      </c>
      <c r="AI28" s="66">
        <f t="shared" si="18"/>
        <v>11.3</v>
      </c>
      <c r="AJ28" s="50">
        <f t="shared" si="19"/>
        <v>-1.2281999626124374</v>
      </c>
      <c r="AK28" s="67">
        <f t="shared" si="20"/>
        <v>1.9827217697257968E-2</v>
      </c>
      <c r="AL28" s="62">
        <f t="shared" si="21"/>
        <v>11.87</v>
      </c>
      <c r="AM28" s="48">
        <f t="shared" si="22"/>
        <v>-1.2614849901389489</v>
      </c>
      <c r="AN28" s="54">
        <f t="shared" si="23"/>
        <v>2.7409786239971434E-2</v>
      </c>
      <c r="AO28" s="70">
        <f t="shared" si="24"/>
        <v>16.574999999999999</v>
      </c>
      <c r="AP28" s="50">
        <f t="shared" si="25"/>
        <v>0.12114943151783844</v>
      </c>
      <c r="AQ28" s="67">
        <f t="shared" si="26"/>
        <v>0.13441644464887961</v>
      </c>
      <c r="AR28" s="62">
        <f t="shared" si="27"/>
        <v>4.7333333333333334</v>
      </c>
      <c r="AS28" s="48">
        <f t="shared" si="28"/>
        <v>-1.2852994730862621</v>
      </c>
      <c r="AT28" s="54">
        <f t="shared" si="29"/>
        <v>7.2128517580353213E-2</v>
      </c>
      <c r="AU28" s="66">
        <f t="shared" si="30"/>
        <v>4.1791666666666663</v>
      </c>
      <c r="AV28" s="50">
        <f t="shared" si="31"/>
        <v>-0.34690169164900569</v>
      </c>
      <c r="AW28" s="67">
        <f t="shared" si="32"/>
        <v>0.40131276761391543</v>
      </c>
      <c r="AX28" s="57">
        <f t="shared" si="33"/>
        <v>2.85</v>
      </c>
      <c r="AY28" s="48">
        <f t="shared" si="34"/>
        <v>-0.71729671203790224</v>
      </c>
      <c r="AZ28" s="54">
        <f t="shared" si="35"/>
        <v>0.30831637107236926</v>
      </c>
    </row>
    <row r="29" spans="1:52" x14ac:dyDescent="0.3">
      <c r="A29" s="1">
        <v>1986</v>
      </c>
      <c r="B29">
        <v>3.52</v>
      </c>
      <c r="C29">
        <v>2.73</v>
      </c>
      <c r="D29">
        <v>4.76</v>
      </c>
      <c r="E29">
        <v>7.95</v>
      </c>
      <c r="F29">
        <v>19.48</v>
      </c>
      <c r="G29">
        <v>41.79</v>
      </c>
      <c r="H29">
        <v>46.37</v>
      </c>
      <c r="I29">
        <v>39.65</v>
      </c>
      <c r="J29">
        <v>105.02</v>
      </c>
      <c r="M29" s="1">
        <v>1986</v>
      </c>
      <c r="N29">
        <f t="shared" si="0"/>
        <v>42.24</v>
      </c>
      <c r="O29">
        <f t="shared" si="1"/>
        <v>16.38</v>
      </c>
      <c r="P29">
        <f t="shared" si="2"/>
        <v>19.04</v>
      </c>
      <c r="Q29">
        <f t="shared" si="3"/>
        <v>15.9</v>
      </c>
      <c r="R29">
        <f t="shared" si="4"/>
        <v>19.48</v>
      </c>
      <c r="S29">
        <f t="shared" si="5"/>
        <v>20.895</v>
      </c>
      <c r="T29">
        <f t="shared" si="6"/>
        <v>7.7283333333333326</v>
      </c>
      <c r="U29">
        <f t="shared" si="7"/>
        <v>3.3041666666666667</v>
      </c>
      <c r="V29">
        <f t="shared" si="8"/>
        <v>4.3758333333333335</v>
      </c>
      <c r="Y29" s="21">
        <v>1984</v>
      </c>
      <c r="Z29" s="62">
        <f t="shared" si="9"/>
        <v>12.600000000000001</v>
      </c>
      <c r="AA29" s="48">
        <f t="shared" si="10"/>
        <v>-0.89016494821513736</v>
      </c>
      <c r="AB29" s="54">
        <f t="shared" si="11"/>
        <v>1.8517831678236157E-2</v>
      </c>
      <c r="AC29" s="66">
        <f t="shared" si="12"/>
        <v>20.52</v>
      </c>
      <c r="AD29" s="50">
        <f t="shared" si="13"/>
        <v>-0.36106935152897102</v>
      </c>
      <c r="AE29" s="67">
        <f t="shared" si="14"/>
        <v>4.6294915882542642E-2</v>
      </c>
      <c r="AF29" s="68">
        <f t="shared" si="15"/>
        <v>25.52</v>
      </c>
      <c r="AG29" s="51">
        <f t="shared" si="16"/>
        <v>0.26833921387456128</v>
      </c>
      <c r="AH29" s="69">
        <f t="shared" si="17"/>
        <v>4.7174196499439706E-2</v>
      </c>
      <c r="AI29" s="66">
        <f t="shared" si="18"/>
        <v>17.32</v>
      </c>
      <c r="AJ29" s="50">
        <f t="shared" si="19"/>
        <v>-0.39920974230445722</v>
      </c>
      <c r="AK29" s="67">
        <f t="shared" si="20"/>
        <v>5.9293275508405109E-2</v>
      </c>
      <c r="AL29" s="62">
        <f t="shared" si="21"/>
        <v>12.91</v>
      </c>
      <c r="AM29" s="48">
        <f t="shared" si="22"/>
        <v>-1.0465178609001304</v>
      </c>
      <c r="AN29" s="54">
        <f t="shared" si="23"/>
        <v>4.3766815392152429E-2</v>
      </c>
      <c r="AO29" s="70">
        <f t="shared" si="24"/>
        <v>10.54</v>
      </c>
      <c r="AP29" s="50">
        <f t="shared" si="25"/>
        <v>-1.6103764872747206</v>
      </c>
      <c r="AQ29" s="67">
        <f t="shared" si="26"/>
        <v>1.2350236174117809E-2</v>
      </c>
      <c r="AR29" s="62">
        <f t="shared" si="27"/>
        <v>8.2383333333333333</v>
      </c>
      <c r="AS29" s="48">
        <f t="shared" si="28"/>
        <v>0.74163508065598538</v>
      </c>
      <c r="AT29" s="54">
        <f t="shared" si="29"/>
        <v>0.21940758578520039</v>
      </c>
      <c r="AU29" s="66">
        <f t="shared" si="30"/>
        <v>7.5908333333333333</v>
      </c>
      <c r="AV29" s="50">
        <f t="shared" si="31"/>
        <v>2.7585258424859123</v>
      </c>
      <c r="AW29" s="67">
        <f t="shared" si="32"/>
        <v>6.9449930117564077E-2</v>
      </c>
      <c r="AX29" s="57">
        <f t="shared" si="33"/>
        <v>6.029583333333334</v>
      </c>
      <c r="AY29" s="48">
        <f t="shared" si="34"/>
        <v>2.1774577485688162</v>
      </c>
      <c r="AZ29" s="54">
        <f t="shared" si="35"/>
        <v>0.11814700849040649</v>
      </c>
    </row>
    <row r="30" spans="1:52" x14ac:dyDescent="0.3">
      <c r="A30" s="1">
        <v>1987</v>
      </c>
      <c r="B30">
        <v>2.15</v>
      </c>
      <c r="C30">
        <v>2.62</v>
      </c>
      <c r="D30">
        <v>2.83</v>
      </c>
      <c r="E30">
        <v>4.93</v>
      </c>
      <c r="F30">
        <v>15.05</v>
      </c>
      <c r="G30">
        <v>26.6</v>
      </c>
      <c r="H30">
        <v>46.36</v>
      </c>
      <c r="I30">
        <v>60.29</v>
      </c>
      <c r="J30">
        <v>57.88</v>
      </c>
      <c r="M30" s="1">
        <v>1987</v>
      </c>
      <c r="N30">
        <f t="shared" si="0"/>
        <v>25.799999999999997</v>
      </c>
      <c r="O30">
        <f t="shared" si="1"/>
        <v>15.72</v>
      </c>
      <c r="P30">
        <f t="shared" si="2"/>
        <v>11.32</v>
      </c>
      <c r="Q30">
        <f t="shared" si="3"/>
        <v>9.86</v>
      </c>
      <c r="R30">
        <f t="shared" si="4"/>
        <v>15.05</v>
      </c>
      <c r="S30">
        <f t="shared" si="5"/>
        <v>13.3</v>
      </c>
      <c r="T30">
        <f t="shared" si="6"/>
        <v>7.7266666666666666</v>
      </c>
      <c r="U30">
        <f t="shared" si="7"/>
        <v>5.0241666666666669</v>
      </c>
      <c r="V30">
        <f t="shared" si="8"/>
        <v>2.4116666666666666</v>
      </c>
      <c r="Y30" s="21">
        <v>1985</v>
      </c>
      <c r="Z30" s="62">
        <f t="shared" si="9"/>
        <v>10.32</v>
      </c>
      <c r="AA30" s="48">
        <f t="shared" si="10"/>
        <v>-1.0445522966048004</v>
      </c>
      <c r="AB30" s="54">
        <f t="shared" si="11"/>
        <v>1.4389906683376513E-2</v>
      </c>
      <c r="AC30" s="66">
        <f t="shared" si="12"/>
        <v>28.98</v>
      </c>
      <c r="AD30" s="50">
        <f t="shared" si="13"/>
        <v>0.5326248304298048</v>
      </c>
      <c r="AE30" s="67">
        <f t="shared" si="14"/>
        <v>4.421830859767454E-2</v>
      </c>
      <c r="AF30" s="68">
        <f t="shared" si="15"/>
        <v>13.28</v>
      </c>
      <c r="AG30" s="51">
        <f t="shared" si="16"/>
        <v>-0.99654088028126675</v>
      </c>
      <c r="AH30" s="69">
        <f t="shared" si="17"/>
        <v>2.3914388341166336E-2</v>
      </c>
      <c r="AI30" s="66">
        <f t="shared" si="18"/>
        <v>9.26</v>
      </c>
      <c r="AJ30" s="50">
        <f t="shared" si="19"/>
        <v>-1.5091202366038461</v>
      </c>
      <c r="AK30" s="67">
        <f t="shared" si="20"/>
        <v>8.6737614203348714E-3</v>
      </c>
      <c r="AL30" s="62">
        <f t="shared" si="21"/>
        <v>14.82</v>
      </c>
      <c r="AM30" s="48">
        <f t="shared" si="22"/>
        <v>-0.65172246008653156</v>
      </c>
      <c r="AN30" s="54">
        <f t="shared" si="23"/>
        <v>7.4660790343011971E-2</v>
      </c>
      <c r="AO30" s="70">
        <f t="shared" si="24"/>
        <v>15.33</v>
      </c>
      <c r="AP30" s="50">
        <f t="shared" si="25"/>
        <v>-0.23605848379230815</v>
      </c>
      <c r="AQ30" s="67">
        <f t="shared" si="26"/>
        <v>0.13134190657780598</v>
      </c>
      <c r="AR30" s="62">
        <f t="shared" si="27"/>
        <v>5.8683333333333332</v>
      </c>
      <c r="AS30" s="48">
        <f t="shared" si="28"/>
        <v>-0.6289312224450494</v>
      </c>
      <c r="AT30" s="54">
        <f t="shared" si="29"/>
        <v>0.21319920331303893</v>
      </c>
      <c r="AU30" s="66">
        <f t="shared" si="30"/>
        <v>6.2424999999999997</v>
      </c>
      <c r="AV30" s="50">
        <f t="shared" si="31"/>
        <v>1.5312220441883311</v>
      </c>
      <c r="AW30" s="67">
        <f t="shared" si="32"/>
        <v>0.20336935075807158</v>
      </c>
      <c r="AX30" s="57">
        <f t="shared" si="33"/>
        <v>2.7495833333333333</v>
      </c>
      <c r="AY30" s="48">
        <f t="shared" si="34"/>
        <v>-0.80871799692929525</v>
      </c>
      <c r="AZ30" s="54">
        <f t="shared" si="35"/>
        <v>0.27766259714741814</v>
      </c>
    </row>
    <row r="31" spans="1:52" x14ac:dyDescent="0.3">
      <c r="A31" s="1">
        <v>1988</v>
      </c>
      <c r="B31">
        <v>1.92</v>
      </c>
      <c r="C31">
        <v>1.74</v>
      </c>
      <c r="D31">
        <v>8.35</v>
      </c>
      <c r="E31">
        <v>9.66</v>
      </c>
      <c r="F31">
        <v>25.17</v>
      </c>
      <c r="G31">
        <v>43.59</v>
      </c>
      <c r="H31">
        <v>38.74</v>
      </c>
      <c r="I31">
        <v>44.93</v>
      </c>
      <c r="J31">
        <v>122.36</v>
      </c>
      <c r="M31" s="1">
        <v>1988</v>
      </c>
      <c r="N31">
        <f t="shared" si="0"/>
        <v>23.04</v>
      </c>
      <c r="O31">
        <f t="shared" si="1"/>
        <v>10.44</v>
      </c>
      <c r="P31">
        <f t="shared" si="2"/>
        <v>33.4</v>
      </c>
      <c r="Q31">
        <f t="shared" si="3"/>
        <v>19.32</v>
      </c>
      <c r="R31">
        <f t="shared" si="4"/>
        <v>25.17</v>
      </c>
      <c r="S31">
        <f t="shared" si="5"/>
        <v>21.795000000000002</v>
      </c>
      <c r="T31">
        <f t="shared" si="6"/>
        <v>6.456666666666667</v>
      </c>
      <c r="U31">
        <f t="shared" si="7"/>
        <v>3.7441666666666666</v>
      </c>
      <c r="V31">
        <f t="shared" si="8"/>
        <v>5.0983333333333336</v>
      </c>
      <c r="Y31" s="21">
        <v>1986</v>
      </c>
      <c r="Z31" s="62">
        <f t="shared" si="9"/>
        <v>42.24</v>
      </c>
      <c r="AA31" s="48">
        <f t="shared" si="10"/>
        <v>1.1168705808504833</v>
      </c>
      <c r="AB31" s="54">
        <f t="shared" si="11"/>
        <v>2.0489806279165801E-2</v>
      </c>
      <c r="AC31" s="66">
        <f t="shared" si="12"/>
        <v>16.38</v>
      </c>
      <c r="AD31" s="50">
        <f t="shared" si="13"/>
        <v>-0.7984090575939039</v>
      </c>
      <c r="AE31" s="67">
        <f t="shared" si="14"/>
        <v>3.2629989351143522E-2</v>
      </c>
      <c r="AF31" s="68">
        <f t="shared" si="15"/>
        <v>19.04</v>
      </c>
      <c r="AG31" s="51">
        <f t="shared" si="16"/>
        <v>-0.40130318891381833</v>
      </c>
      <c r="AH31" s="69">
        <f t="shared" si="17"/>
        <v>4.4450122815072386E-2</v>
      </c>
      <c r="AI31" s="66">
        <f t="shared" si="18"/>
        <v>15.9</v>
      </c>
      <c r="AJ31" s="50">
        <f t="shared" si="19"/>
        <v>-0.59475228596514351</v>
      </c>
      <c r="AK31" s="67">
        <f t="shared" si="20"/>
        <v>5.2253286867819715E-2</v>
      </c>
      <c r="AL31" s="62">
        <f t="shared" si="21"/>
        <v>19.48</v>
      </c>
      <c r="AM31" s="48">
        <f t="shared" si="22"/>
        <v>0.3114956382335578</v>
      </c>
      <c r="AN31" s="54">
        <f t="shared" si="23"/>
        <v>9.3338182733684702E-2</v>
      </c>
      <c r="AO31" s="70">
        <f t="shared" si="24"/>
        <v>20.895</v>
      </c>
      <c r="AP31" s="50">
        <f t="shared" si="25"/>
        <v>1.3606178605458177</v>
      </c>
      <c r="AQ31" s="67">
        <f t="shared" si="26"/>
        <v>7.3030244992834642E-2</v>
      </c>
      <c r="AR31" s="62">
        <f t="shared" si="27"/>
        <v>7.7283333333333326</v>
      </c>
      <c r="AS31" s="48">
        <f t="shared" si="28"/>
        <v>0.44670309138107878</v>
      </c>
      <c r="AT31" s="54">
        <f t="shared" si="29"/>
        <v>0.25025082685590633</v>
      </c>
      <c r="AU31" s="66">
        <f t="shared" si="30"/>
        <v>3.3041666666666667</v>
      </c>
      <c r="AV31" s="50">
        <f t="shared" si="31"/>
        <v>-1.1433596571696854</v>
      </c>
      <c r="AW31" s="67">
        <f t="shared" si="32"/>
        <v>0.15894938222154026</v>
      </c>
      <c r="AX31" s="57">
        <f t="shared" si="33"/>
        <v>4.3758333333333335</v>
      </c>
      <c r="AY31" s="48">
        <f t="shared" si="34"/>
        <v>0.67185160859396809</v>
      </c>
      <c r="AZ31" s="54">
        <f t="shared" si="35"/>
        <v>0.35784614430216383</v>
      </c>
    </row>
    <row r="32" spans="1:52" x14ac:dyDescent="0.3">
      <c r="A32" s="1">
        <v>1989</v>
      </c>
      <c r="B32">
        <v>2.02</v>
      </c>
      <c r="C32">
        <v>7.59</v>
      </c>
      <c r="D32">
        <v>9.17</v>
      </c>
      <c r="E32">
        <v>18.21</v>
      </c>
      <c r="F32">
        <v>24.46</v>
      </c>
      <c r="G32">
        <v>27.25</v>
      </c>
      <c r="H32">
        <v>38.369999999999997</v>
      </c>
      <c r="I32">
        <v>60.53</v>
      </c>
      <c r="J32">
        <v>104.65</v>
      </c>
      <c r="M32" s="1">
        <v>1989</v>
      </c>
      <c r="N32">
        <f t="shared" si="0"/>
        <v>24.240000000000002</v>
      </c>
      <c r="O32">
        <f t="shared" si="1"/>
        <v>45.54</v>
      </c>
      <c r="P32">
        <f t="shared" si="2"/>
        <v>36.68</v>
      </c>
      <c r="Q32">
        <f t="shared" si="3"/>
        <v>36.42</v>
      </c>
      <c r="R32">
        <f t="shared" si="4"/>
        <v>24.46</v>
      </c>
      <c r="S32">
        <f t="shared" si="5"/>
        <v>13.625</v>
      </c>
      <c r="T32">
        <f t="shared" si="6"/>
        <v>6.3949999999999996</v>
      </c>
      <c r="U32">
        <f t="shared" si="7"/>
        <v>5.0441666666666665</v>
      </c>
      <c r="V32">
        <f t="shared" si="8"/>
        <v>4.3604166666666666</v>
      </c>
      <c r="Y32" s="21">
        <v>1987</v>
      </c>
      <c r="Z32" s="62">
        <f t="shared" si="9"/>
        <v>25.799999999999997</v>
      </c>
      <c r="AA32" s="48">
        <f t="shared" si="10"/>
        <v>3.656542461859378E-3</v>
      </c>
      <c r="AB32" s="54">
        <f t="shared" si="11"/>
        <v>3.1947498125863248E-2</v>
      </c>
      <c r="AC32" s="66">
        <f t="shared" si="12"/>
        <v>15.72</v>
      </c>
      <c r="AD32" s="50">
        <f t="shared" si="13"/>
        <v>-0.86812988029990756</v>
      </c>
      <c r="AE32" s="67">
        <f t="shared" si="14"/>
        <v>2.9799881804377162E-2</v>
      </c>
      <c r="AF32" s="68">
        <f t="shared" si="15"/>
        <v>11.32</v>
      </c>
      <c r="AG32" s="51">
        <f t="shared" si="16"/>
        <v>-1.1990870391493569</v>
      </c>
      <c r="AH32" s="69">
        <f t="shared" si="17"/>
        <v>1.5940045062542096E-2</v>
      </c>
      <c r="AI32" s="66">
        <f t="shared" si="18"/>
        <v>9.86</v>
      </c>
      <c r="AJ32" s="50">
        <f t="shared" si="19"/>
        <v>-1.426496626606373</v>
      </c>
      <c r="AK32" s="67">
        <f t="shared" si="20"/>
        <v>1.143116915797034E-2</v>
      </c>
      <c r="AL32" s="62">
        <f t="shared" si="21"/>
        <v>15.05</v>
      </c>
      <c r="AM32" s="48">
        <f t="shared" si="22"/>
        <v>-0.60418165265871582</v>
      </c>
      <c r="AN32" s="54">
        <f t="shared" si="23"/>
        <v>7.7828146441847434E-2</v>
      </c>
      <c r="AO32" s="70">
        <f t="shared" si="24"/>
        <v>13.3</v>
      </c>
      <c r="AP32" s="50">
        <f t="shared" si="25"/>
        <v>-0.81849387984017785</v>
      </c>
      <c r="AQ32" s="67">
        <f t="shared" si="26"/>
        <v>8.6436054844557117E-2</v>
      </c>
      <c r="AR32" s="62">
        <f t="shared" si="27"/>
        <v>7.7266666666666666</v>
      </c>
      <c r="AS32" s="48">
        <f t="shared" si="28"/>
        <v>0.44573926135076902</v>
      </c>
      <c r="AT32" s="54">
        <f t="shared" si="29"/>
        <v>0.25033766346964792</v>
      </c>
      <c r="AU32" s="66">
        <f t="shared" si="30"/>
        <v>5.0241666666666669</v>
      </c>
      <c r="AV32" s="50">
        <f t="shared" si="31"/>
        <v>0.42224914362525151</v>
      </c>
      <c r="AW32" s="67">
        <f t="shared" si="32"/>
        <v>0.39730220519043324</v>
      </c>
      <c r="AX32" s="57">
        <f t="shared" si="33"/>
        <v>2.4116666666666666</v>
      </c>
      <c r="AY32" s="48">
        <f t="shared" si="34"/>
        <v>-1.1163638975389203</v>
      </c>
      <c r="AZ32" s="54">
        <f t="shared" si="35"/>
        <v>0.16823306179747144</v>
      </c>
    </row>
    <row r="33" spans="1:52" x14ac:dyDescent="0.3">
      <c r="A33" s="1">
        <v>1990</v>
      </c>
      <c r="B33">
        <v>1.85</v>
      </c>
      <c r="C33">
        <v>3.7</v>
      </c>
      <c r="D33">
        <v>11.33</v>
      </c>
      <c r="E33">
        <v>13.28</v>
      </c>
      <c r="F33">
        <v>11.31</v>
      </c>
      <c r="G33">
        <v>32.840000000000003</v>
      </c>
      <c r="H33">
        <v>31.99</v>
      </c>
      <c r="I33">
        <v>36.39</v>
      </c>
      <c r="J33">
        <v>75.42</v>
      </c>
      <c r="M33" s="1">
        <v>1990</v>
      </c>
      <c r="N33">
        <f t="shared" si="0"/>
        <v>22.200000000000003</v>
      </c>
      <c r="O33">
        <f t="shared" si="1"/>
        <v>22.200000000000003</v>
      </c>
      <c r="P33">
        <f t="shared" si="2"/>
        <v>45.32</v>
      </c>
      <c r="Q33">
        <f t="shared" si="3"/>
        <v>26.56</v>
      </c>
      <c r="R33">
        <f t="shared" si="4"/>
        <v>11.31</v>
      </c>
      <c r="S33">
        <f t="shared" si="5"/>
        <v>16.420000000000002</v>
      </c>
      <c r="T33">
        <f t="shared" si="6"/>
        <v>5.3316666666666661</v>
      </c>
      <c r="U33">
        <f t="shared" si="7"/>
        <v>3.0325000000000002</v>
      </c>
      <c r="V33">
        <f t="shared" si="8"/>
        <v>3.1425000000000001</v>
      </c>
      <c r="Y33" s="21">
        <v>1988</v>
      </c>
      <c r="Z33" s="62">
        <f t="shared" si="9"/>
        <v>23.04</v>
      </c>
      <c r="AA33" s="48">
        <f t="shared" si="10"/>
        <v>-0.18323340558878531</v>
      </c>
      <c r="AB33" s="54">
        <f t="shared" si="11"/>
        <v>3.1382149275549408E-2</v>
      </c>
      <c r="AC33" s="66">
        <f t="shared" si="12"/>
        <v>10.44</v>
      </c>
      <c r="AD33" s="50">
        <f t="shared" si="13"/>
        <v>-1.425896461947938</v>
      </c>
      <c r="AE33" s="67">
        <f t="shared" si="14"/>
        <v>8.785787415016573E-3</v>
      </c>
      <c r="AF33" s="68">
        <f t="shared" si="15"/>
        <v>33.4</v>
      </c>
      <c r="AG33" s="51">
        <f t="shared" si="16"/>
        <v>1.0826574444258623</v>
      </c>
      <c r="AH33" s="69">
        <f t="shared" si="17"/>
        <v>3.1991905527387073E-2</v>
      </c>
      <c r="AI33" s="66">
        <f t="shared" si="18"/>
        <v>19.32</v>
      </c>
      <c r="AJ33" s="50">
        <f t="shared" si="19"/>
        <v>-0.12379770897954684</v>
      </c>
      <c r="AK33" s="67">
        <f t="shared" si="20"/>
        <v>6.4453446808142856E-2</v>
      </c>
      <c r="AL33" s="62">
        <f t="shared" si="21"/>
        <v>25.17</v>
      </c>
      <c r="AM33" s="48">
        <f t="shared" si="22"/>
        <v>1.4876138741651692</v>
      </c>
      <c r="AN33" s="54">
        <f t="shared" si="23"/>
        <v>4.7777306854345759E-2</v>
      </c>
      <c r="AO33" s="70">
        <f t="shared" si="24"/>
        <v>21.795000000000002</v>
      </c>
      <c r="AP33" s="50">
        <f t="shared" si="25"/>
        <v>1.6188404499266473</v>
      </c>
      <c r="AQ33" s="67">
        <f t="shared" si="26"/>
        <v>5.9801157722077551E-2</v>
      </c>
      <c r="AR33" s="62">
        <f t="shared" si="27"/>
        <v>6.456666666666667</v>
      </c>
      <c r="AS33" s="48">
        <f t="shared" si="28"/>
        <v>-0.28869922174556584</v>
      </c>
      <c r="AT33" s="54">
        <f t="shared" si="29"/>
        <v>0.26057992700443838</v>
      </c>
      <c r="AU33" s="66">
        <f t="shared" si="30"/>
        <v>3.7441666666666666</v>
      </c>
      <c r="AV33" s="50">
        <f t="shared" si="31"/>
        <v>-0.74285508022214342</v>
      </c>
      <c r="AW33" s="67">
        <f t="shared" si="32"/>
        <v>0.29989847350415821</v>
      </c>
      <c r="AX33" s="57">
        <f t="shared" si="33"/>
        <v>5.0983333333333336</v>
      </c>
      <c r="AY33" s="48">
        <f t="shared" si="34"/>
        <v>1.3296296500946954</v>
      </c>
      <c r="AZ33" s="54">
        <f t="shared" si="35"/>
        <v>0.2371070744098053</v>
      </c>
    </row>
    <row r="34" spans="1:52" x14ac:dyDescent="0.3">
      <c r="A34" s="1">
        <v>1991</v>
      </c>
      <c r="B34">
        <v>3.99</v>
      </c>
      <c r="C34">
        <v>2.41</v>
      </c>
      <c r="D34">
        <v>6.47</v>
      </c>
      <c r="E34">
        <v>9.1300000000000008</v>
      </c>
      <c r="F34">
        <v>11.97</v>
      </c>
      <c r="G34">
        <v>27.08</v>
      </c>
      <c r="H34">
        <v>42.46</v>
      </c>
      <c r="I34">
        <v>60.14</v>
      </c>
      <c r="J34">
        <v>169.07</v>
      </c>
      <c r="M34" s="1">
        <v>1991</v>
      </c>
      <c r="N34">
        <f t="shared" si="0"/>
        <v>47.88</v>
      </c>
      <c r="O34">
        <f t="shared" si="1"/>
        <v>14.46</v>
      </c>
      <c r="P34">
        <f t="shared" si="2"/>
        <v>25.88</v>
      </c>
      <c r="Q34">
        <f t="shared" si="3"/>
        <v>18.260000000000002</v>
      </c>
      <c r="R34">
        <f t="shared" si="4"/>
        <v>11.97</v>
      </c>
      <c r="S34">
        <f t="shared" si="5"/>
        <v>13.54</v>
      </c>
      <c r="T34">
        <f t="shared" si="6"/>
        <v>7.0766666666666671</v>
      </c>
      <c r="U34">
        <f t="shared" si="7"/>
        <v>5.0116666666666667</v>
      </c>
      <c r="V34">
        <f t="shared" si="8"/>
        <v>7.0445833333333328</v>
      </c>
      <c r="Y34" s="21">
        <v>1989</v>
      </c>
      <c r="Z34" s="62">
        <f t="shared" si="9"/>
        <v>24.240000000000002</v>
      </c>
      <c r="AA34" s="48">
        <f t="shared" si="10"/>
        <v>-0.10197690643633085</v>
      </c>
      <c r="AB34" s="54">
        <f t="shared" si="11"/>
        <v>3.1776262751409656E-2</v>
      </c>
      <c r="AC34" s="66">
        <f t="shared" si="12"/>
        <v>45.54</v>
      </c>
      <c r="AD34" s="50">
        <f t="shared" si="13"/>
        <v>2.2819836546895362</v>
      </c>
      <c r="AE34" s="67">
        <f t="shared" si="14"/>
        <v>1.2487905261057782E-2</v>
      </c>
      <c r="AF34" s="68">
        <f t="shared" si="15"/>
        <v>36.68</v>
      </c>
      <c r="AG34" s="51">
        <f t="shared" si="16"/>
        <v>1.4216122408989929</v>
      </c>
      <c r="AH34" s="69">
        <f t="shared" si="17"/>
        <v>2.5125864151304418E-2</v>
      </c>
      <c r="AI34" s="66">
        <f t="shared" si="18"/>
        <v>36.42</v>
      </c>
      <c r="AJ34" s="50">
        <f t="shared" si="19"/>
        <v>2.2309751759484371</v>
      </c>
      <c r="AK34" s="67">
        <f t="shared" si="20"/>
        <v>1.7039490126099715E-2</v>
      </c>
      <c r="AL34" s="62">
        <f t="shared" si="21"/>
        <v>24.46</v>
      </c>
      <c r="AM34" s="48">
        <f t="shared" si="22"/>
        <v>1.3408574686271297</v>
      </c>
      <c r="AN34" s="54">
        <f t="shared" si="23"/>
        <v>5.3388587457031865E-2</v>
      </c>
      <c r="AO34" s="70">
        <f t="shared" si="24"/>
        <v>13.625</v>
      </c>
      <c r="AP34" s="50">
        <f t="shared" si="25"/>
        <v>-0.72524683367487863</v>
      </c>
      <c r="AQ34" s="67">
        <f t="shared" si="26"/>
        <v>9.635119542233514E-2</v>
      </c>
      <c r="AR34" s="62">
        <f t="shared" si="27"/>
        <v>6.3949999999999996</v>
      </c>
      <c r="AS34" s="48">
        <f t="shared" si="28"/>
        <v>-0.32436093286704187</v>
      </c>
      <c r="AT34" s="54">
        <f t="shared" si="29"/>
        <v>0.25726717313265912</v>
      </c>
      <c r="AU34" s="66">
        <f t="shared" si="30"/>
        <v>5.0441666666666665</v>
      </c>
      <c r="AV34" s="50">
        <f t="shared" si="31"/>
        <v>0.44045389712286664</v>
      </c>
      <c r="AW34" s="67">
        <f t="shared" si="32"/>
        <v>0.39477618592416963</v>
      </c>
      <c r="AX34" s="57">
        <f t="shared" si="33"/>
        <v>4.3604166666666666</v>
      </c>
      <c r="AY34" s="48">
        <f t="shared" si="34"/>
        <v>0.65781597564383709</v>
      </c>
      <c r="AZ34" s="54">
        <f t="shared" si="35"/>
        <v>0.36029363397283332</v>
      </c>
    </row>
    <row r="35" spans="1:52" x14ac:dyDescent="0.3">
      <c r="A35" s="1">
        <v>1992</v>
      </c>
      <c r="B35">
        <v>3.34</v>
      </c>
      <c r="C35">
        <v>3.71</v>
      </c>
      <c r="D35">
        <v>3.69</v>
      </c>
      <c r="E35">
        <v>10.220000000000001</v>
      </c>
      <c r="F35">
        <v>34.369999999999997</v>
      </c>
      <c r="G35">
        <v>30.21</v>
      </c>
      <c r="H35">
        <v>38.32</v>
      </c>
      <c r="I35">
        <v>44.7</v>
      </c>
      <c r="J35">
        <v>47.35</v>
      </c>
      <c r="M35" s="1">
        <v>1992</v>
      </c>
      <c r="N35">
        <f t="shared" si="0"/>
        <v>40.08</v>
      </c>
      <c r="O35">
        <f t="shared" si="1"/>
        <v>22.259999999999998</v>
      </c>
      <c r="P35">
        <f t="shared" si="2"/>
        <v>14.76</v>
      </c>
      <c r="Q35">
        <f t="shared" si="3"/>
        <v>20.440000000000001</v>
      </c>
      <c r="R35">
        <f t="shared" si="4"/>
        <v>34.369999999999997</v>
      </c>
      <c r="S35">
        <f t="shared" si="5"/>
        <v>15.105</v>
      </c>
      <c r="T35">
        <f t="shared" si="6"/>
        <v>6.3866666666666667</v>
      </c>
      <c r="U35">
        <f t="shared" si="7"/>
        <v>3.7250000000000001</v>
      </c>
      <c r="V35">
        <f t="shared" si="8"/>
        <v>1.9729166666666667</v>
      </c>
      <c r="Y35" s="21">
        <v>1990</v>
      </c>
      <c r="Z35" s="62">
        <f t="shared" si="9"/>
        <v>22.200000000000003</v>
      </c>
      <c r="AA35" s="48">
        <f t="shared" si="10"/>
        <v>-0.24011295499550306</v>
      </c>
      <c r="AB35" s="54">
        <f t="shared" si="11"/>
        <v>3.0963861037836854E-2</v>
      </c>
      <c r="AC35" s="66">
        <f t="shared" si="12"/>
        <v>22.200000000000003</v>
      </c>
      <c r="AD35" s="50">
        <f t="shared" si="13"/>
        <v>-0.18359816645914287</v>
      </c>
      <c r="AE35" s="67">
        <f t="shared" si="14"/>
        <v>4.8954486491640956E-2</v>
      </c>
      <c r="AF35" s="68">
        <f t="shared" si="15"/>
        <v>45.32</v>
      </c>
      <c r="AG35" s="51">
        <f t="shared" si="16"/>
        <v>2.3144687779501654</v>
      </c>
      <c r="AH35" s="69">
        <f t="shared" si="17"/>
        <v>1.1864457756571913E-2</v>
      </c>
      <c r="AI35" s="66">
        <f t="shared" si="18"/>
        <v>26.56</v>
      </c>
      <c r="AJ35" s="50">
        <f t="shared" si="19"/>
        <v>0.87319385165662844</v>
      </c>
      <c r="AK35" s="67">
        <f t="shared" si="20"/>
        <v>4.8575676909041528E-2</v>
      </c>
      <c r="AL35" s="62">
        <f t="shared" si="21"/>
        <v>11.31</v>
      </c>
      <c r="AM35" s="48">
        <f t="shared" si="22"/>
        <v>-1.377236521267543</v>
      </c>
      <c r="AN35" s="54">
        <f t="shared" si="23"/>
        <v>1.995300982044837E-2</v>
      </c>
      <c r="AO35" s="70">
        <f t="shared" si="24"/>
        <v>16.420000000000002</v>
      </c>
      <c r="AP35" s="50">
        <f t="shared" si="25"/>
        <v>7.6677763346696362E-2</v>
      </c>
      <c r="AQ35" s="67">
        <f t="shared" si="26"/>
        <v>0.1349801533689434</v>
      </c>
      <c r="AR35" s="62">
        <f t="shared" si="27"/>
        <v>5.3316666666666661</v>
      </c>
      <c r="AS35" s="48">
        <f t="shared" si="28"/>
        <v>-0.93928449220491828</v>
      </c>
      <c r="AT35" s="54">
        <f t="shared" si="29"/>
        <v>0.14694152839889491</v>
      </c>
      <c r="AU35" s="66">
        <f t="shared" si="30"/>
        <v>3.0325000000000002</v>
      </c>
      <c r="AV35" s="50">
        <f t="shared" si="31"/>
        <v>-1.3906408921789628</v>
      </c>
      <c r="AW35" s="67">
        <f t="shared" si="32"/>
        <v>8.4414059808261888E-2</v>
      </c>
      <c r="AX35" s="57">
        <f t="shared" si="33"/>
        <v>3.1425000000000001</v>
      </c>
      <c r="AY35" s="48">
        <f t="shared" si="34"/>
        <v>-0.45099902741650055</v>
      </c>
      <c r="AZ35" s="54">
        <f t="shared" si="35"/>
        <v>0.3813951514936606</v>
      </c>
    </row>
    <row r="36" spans="1:52" x14ac:dyDescent="0.3">
      <c r="A36" s="1">
        <v>1993</v>
      </c>
      <c r="B36">
        <v>3.23</v>
      </c>
      <c r="C36">
        <v>4.95</v>
      </c>
      <c r="D36">
        <v>5.13</v>
      </c>
      <c r="E36">
        <v>16.309999999999999</v>
      </c>
      <c r="F36">
        <v>29.35</v>
      </c>
      <c r="G36">
        <v>39.54</v>
      </c>
      <c r="H36">
        <v>34.15</v>
      </c>
      <c r="I36">
        <v>62.56</v>
      </c>
      <c r="J36">
        <v>67.790000000000006</v>
      </c>
      <c r="M36" s="1">
        <v>1993</v>
      </c>
      <c r="N36">
        <f t="shared" si="0"/>
        <v>38.76</v>
      </c>
      <c r="O36">
        <f t="shared" si="1"/>
        <v>29.700000000000003</v>
      </c>
      <c r="P36">
        <f t="shared" si="2"/>
        <v>20.52</v>
      </c>
      <c r="Q36">
        <f t="shared" si="3"/>
        <v>32.619999999999997</v>
      </c>
      <c r="R36">
        <f t="shared" si="4"/>
        <v>29.35</v>
      </c>
      <c r="S36">
        <f t="shared" si="5"/>
        <v>19.77</v>
      </c>
      <c r="T36">
        <f t="shared" si="6"/>
        <v>5.6916666666666664</v>
      </c>
      <c r="U36">
        <f t="shared" si="7"/>
        <v>5.2133333333333338</v>
      </c>
      <c r="V36">
        <f t="shared" si="8"/>
        <v>2.8245833333333334</v>
      </c>
      <c r="Y36" s="21">
        <v>1991</v>
      </c>
      <c r="Z36" s="62">
        <f t="shared" si="9"/>
        <v>47.88</v>
      </c>
      <c r="AA36" s="48">
        <f t="shared" si="10"/>
        <v>1.4987761268670183</v>
      </c>
      <c r="AB36" s="54">
        <f t="shared" si="11"/>
        <v>1.5516764369095043E-2</v>
      </c>
      <c r="AC36" s="66">
        <f t="shared" si="12"/>
        <v>14.46</v>
      </c>
      <c r="AD36" s="50">
        <f t="shared" si="13"/>
        <v>-1.0012332691022783</v>
      </c>
      <c r="AE36" s="67">
        <f t="shared" si="14"/>
        <v>2.425014901623446E-2</v>
      </c>
      <c r="AF36" s="68">
        <f t="shared" si="15"/>
        <v>25.88</v>
      </c>
      <c r="AG36" s="51">
        <f t="shared" si="16"/>
        <v>0.30554156958502676</v>
      </c>
      <c r="AH36" s="69">
        <f t="shared" si="17"/>
        <v>4.6738525509602856E-2</v>
      </c>
      <c r="AI36" s="66">
        <f t="shared" si="18"/>
        <v>18.260000000000002</v>
      </c>
      <c r="AJ36" s="50">
        <f t="shared" si="19"/>
        <v>-0.26976608664174917</v>
      </c>
      <c r="AK36" s="67">
        <f t="shared" si="20"/>
        <v>6.2429655762985738E-2</v>
      </c>
      <c r="AL36" s="62">
        <f t="shared" si="21"/>
        <v>11.97</v>
      </c>
      <c r="AM36" s="48">
        <f t="shared" si="22"/>
        <v>-1.2408150738659851</v>
      </c>
      <c r="AN36" s="54">
        <f t="shared" si="23"/>
        <v>2.8860087776280227E-2</v>
      </c>
      <c r="AO36" s="70">
        <f t="shared" si="24"/>
        <v>13.54</v>
      </c>
      <c r="AP36" s="50">
        <f t="shared" si="25"/>
        <v>-0.74963452267195718</v>
      </c>
      <c r="AQ36" s="67">
        <f t="shared" si="26"/>
        <v>9.3822233273188213E-2</v>
      </c>
      <c r="AR36" s="62">
        <f t="shared" si="27"/>
        <v>7.0766666666666671</v>
      </c>
      <c r="AS36" s="48">
        <f t="shared" si="28"/>
        <v>6.9845549529810411E-2</v>
      </c>
      <c r="AT36" s="54">
        <f t="shared" si="29"/>
        <v>0.27219459873926261</v>
      </c>
      <c r="AU36" s="66">
        <f t="shared" si="30"/>
        <v>5.0116666666666667</v>
      </c>
      <c r="AV36" s="50">
        <f t="shared" si="31"/>
        <v>0.41087117268924161</v>
      </c>
      <c r="AW36" s="67">
        <f t="shared" si="32"/>
        <v>0.39884526076763593</v>
      </c>
      <c r="AX36" s="57">
        <f t="shared" si="33"/>
        <v>7.0445833333333328</v>
      </c>
      <c r="AY36" s="48">
        <f t="shared" si="34"/>
        <v>3.1015334746909442</v>
      </c>
      <c r="AZ36" s="54">
        <f t="shared" si="35"/>
        <v>5.0209440175193201E-2</v>
      </c>
    </row>
    <row r="37" spans="1:52" x14ac:dyDescent="0.3">
      <c r="A37" s="1">
        <v>1994</v>
      </c>
      <c r="B37">
        <v>0.47</v>
      </c>
      <c r="C37">
        <v>2.09</v>
      </c>
      <c r="D37">
        <v>5.84</v>
      </c>
      <c r="E37">
        <v>16.920000000000002</v>
      </c>
      <c r="F37">
        <v>12.67</v>
      </c>
      <c r="G37">
        <v>29.54</v>
      </c>
      <c r="H37">
        <v>71.19</v>
      </c>
      <c r="I37">
        <v>47.11</v>
      </c>
      <c r="J37">
        <v>143.32</v>
      </c>
      <c r="M37" s="1">
        <v>1994</v>
      </c>
      <c r="N37">
        <f t="shared" si="0"/>
        <v>5.64</v>
      </c>
      <c r="O37">
        <f t="shared" si="1"/>
        <v>12.54</v>
      </c>
      <c r="P37">
        <f t="shared" si="2"/>
        <v>23.36</v>
      </c>
      <c r="Q37">
        <f t="shared" si="3"/>
        <v>33.840000000000003</v>
      </c>
      <c r="R37">
        <f t="shared" si="4"/>
        <v>12.67</v>
      </c>
      <c r="S37">
        <f t="shared" si="5"/>
        <v>14.77</v>
      </c>
      <c r="T37">
        <f t="shared" si="6"/>
        <v>11.865</v>
      </c>
      <c r="U37">
        <f t="shared" si="7"/>
        <v>3.9258333333333333</v>
      </c>
      <c r="V37">
        <f t="shared" si="8"/>
        <v>5.9716666666666667</v>
      </c>
      <c r="Y37" s="21">
        <v>1992</v>
      </c>
      <c r="Z37" s="62">
        <f t="shared" si="9"/>
        <v>40.08</v>
      </c>
      <c r="AA37" s="48">
        <f t="shared" si="10"/>
        <v>0.97060888237606524</v>
      </c>
      <c r="AB37" s="54">
        <f t="shared" si="11"/>
        <v>2.2525305702353567E-2</v>
      </c>
      <c r="AC37" s="66">
        <f t="shared" si="12"/>
        <v>22.259999999999998</v>
      </c>
      <c r="AD37" s="50">
        <f t="shared" si="13"/>
        <v>-0.17725990984950668</v>
      </c>
      <c r="AE37" s="67">
        <f t="shared" si="14"/>
        <v>4.901587879589072E-2</v>
      </c>
      <c r="AF37" s="68">
        <f t="shared" si="15"/>
        <v>14.76</v>
      </c>
      <c r="AG37" s="51">
        <f t="shared" si="16"/>
        <v>-0.84359786236046397</v>
      </c>
      <c r="AH37" s="69">
        <f t="shared" si="17"/>
        <v>3.0135881439664475E-2</v>
      </c>
      <c r="AI37" s="66">
        <f t="shared" si="18"/>
        <v>20.440000000000001</v>
      </c>
      <c r="AJ37" s="50">
        <f t="shared" si="19"/>
        <v>3.0433029682403096E-2</v>
      </c>
      <c r="AK37" s="67">
        <f t="shared" si="20"/>
        <v>6.4940662889822059E-2</v>
      </c>
      <c r="AL37" s="62">
        <f t="shared" si="21"/>
        <v>34.369999999999997</v>
      </c>
      <c r="AM37" s="48">
        <f t="shared" si="22"/>
        <v>3.389246171277791</v>
      </c>
      <c r="AN37" s="54">
        <f t="shared" si="23"/>
        <v>8.6459884101809971E-3</v>
      </c>
      <c r="AO37" s="70">
        <f t="shared" si="24"/>
        <v>15.105</v>
      </c>
      <c r="AP37" s="50">
        <f t="shared" si="25"/>
        <v>-0.30061413113751528</v>
      </c>
      <c r="AQ37" s="67">
        <f t="shared" si="26"/>
        <v>0.12875609199054713</v>
      </c>
      <c r="AR37" s="62">
        <f t="shared" si="27"/>
        <v>6.3866666666666667</v>
      </c>
      <c r="AS37" s="48">
        <f t="shared" si="28"/>
        <v>-0.32918008301859231</v>
      </c>
      <c r="AT37" s="54">
        <f t="shared" si="29"/>
        <v>0.2567884519541816</v>
      </c>
      <c r="AU37" s="66">
        <f t="shared" si="30"/>
        <v>3.7250000000000001</v>
      </c>
      <c r="AV37" s="50">
        <f t="shared" si="31"/>
        <v>-0.76030130232402482</v>
      </c>
      <c r="AW37" s="67">
        <f t="shared" si="32"/>
        <v>0.29409350524457023</v>
      </c>
      <c r="AX37" s="57">
        <f t="shared" si="33"/>
        <v>1.9729166666666667</v>
      </c>
      <c r="AY37" s="48">
        <f t="shared" si="34"/>
        <v>-1.5158104244710227</v>
      </c>
      <c r="AZ37" s="54">
        <f t="shared" si="35"/>
        <v>5.6003688214496881E-2</v>
      </c>
    </row>
    <row r="38" spans="1:52" x14ac:dyDescent="0.3">
      <c r="A38" s="1">
        <v>1995</v>
      </c>
      <c r="B38">
        <v>2.12</v>
      </c>
      <c r="C38">
        <v>1.35</v>
      </c>
      <c r="D38">
        <v>1.83</v>
      </c>
      <c r="E38">
        <v>7.84</v>
      </c>
      <c r="F38">
        <v>14.12</v>
      </c>
      <c r="G38">
        <v>38.130000000000003</v>
      </c>
      <c r="H38">
        <v>29.41</v>
      </c>
      <c r="I38">
        <v>49.67</v>
      </c>
      <c r="J38">
        <v>82.85</v>
      </c>
      <c r="M38" s="1">
        <v>1995</v>
      </c>
      <c r="N38">
        <f t="shared" si="0"/>
        <v>25.44</v>
      </c>
      <c r="O38">
        <f t="shared" si="1"/>
        <v>8.1000000000000014</v>
      </c>
      <c r="P38">
        <f t="shared" si="2"/>
        <v>7.32</v>
      </c>
      <c r="Q38">
        <f t="shared" si="3"/>
        <v>15.68</v>
      </c>
      <c r="R38">
        <f t="shared" si="4"/>
        <v>14.12</v>
      </c>
      <c r="S38">
        <f t="shared" si="5"/>
        <v>19.065000000000001</v>
      </c>
      <c r="T38">
        <f t="shared" si="6"/>
        <v>4.9016666666666664</v>
      </c>
      <c r="U38">
        <f t="shared" si="7"/>
        <v>4.1391666666666671</v>
      </c>
      <c r="V38">
        <f t="shared" si="8"/>
        <v>3.4520833333333329</v>
      </c>
      <c r="Y38" s="21">
        <v>1993</v>
      </c>
      <c r="Z38" s="62">
        <f t="shared" ref="Z38:Z65" si="36">N36</f>
        <v>38.76</v>
      </c>
      <c r="AA38" s="48">
        <f t="shared" ref="AA38:AA65" si="37">(Z38-Z$67)/Z$68</f>
        <v>0.88122673330836554</v>
      </c>
      <c r="AB38" s="54">
        <f t="shared" ref="AB38:AB65" si="38">((1/N$68)*EXP(-AA38)*EXP(-EXP(-AA38)))</f>
        <v>2.3774163407416136E-2</v>
      </c>
      <c r="AC38" s="66">
        <f t="shared" si="12"/>
        <v>29.700000000000003</v>
      </c>
      <c r="AD38" s="50">
        <f t="shared" si="13"/>
        <v>0.60868390974544562</v>
      </c>
      <c r="AE38" s="67">
        <f t="shared" si="14"/>
        <v>4.2780201525014896E-2</v>
      </c>
      <c r="AF38" s="68">
        <f t="shared" si="15"/>
        <v>20.52</v>
      </c>
      <c r="AG38" s="51">
        <f t="shared" si="16"/>
        <v>-0.24836017099301552</v>
      </c>
      <c r="AH38" s="69">
        <f t="shared" si="17"/>
        <v>4.7147134890696489E-2</v>
      </c>
      <c r="AI38" s="66">
        <f t="shared" si="18"/>
        <v>32.619999999999997</v>
      </c>
      <c r="AJ38" s="50">
        <f t="shared" si="19"/>
        <v>1.7076923126311068</v>
      </c>
      <c r="AK38" s="67">
        <f t="shared" si="20"/>
        <v>2.6707820574128023E-2</v>
      </c>
      <c r="AL38" s="62">
        <f t="shared" si="21"/>
        <v>29.35</v>
      </c>
      <c r="AM38" s="48">
        <f t="shared" si="22"/>
        <v>2.3516163743750349</v>
      </c>
      <c r="AN38" s="54">
        <f t="shared" si="23"/>
        <v>2.2948307930042235E-2</v>
      </c>
      <c r="AO38" s="70">
        <f t="shared" si="24"/>
        <v>19.77</v>
      </c>
      <c r="AP38" s="50">
        <f t="shared" si="25"/>
        <v>1.0378396238197816</v>
      </c>
      <c r="AQ38" s="67">
        <f t="shared" si="26"/>
        <v>9.146304857001844E-2</v>
      </c>
      <c r="AR38" s="62">
        <f t="shared" si="27"/>
        <v>5.6916666666666664</v>
      </c>
      <c r="AS38" s="48">
        <f t="shared" si="28"/>
        <v>-0.73109720565792546</v>
      </c>
      <c r="AT38" s="54">
        <f t="shared" si="29"/>
        <v>0.19299015833965821</v>
      </c>
      <c r="AU38" s="66">
        <f t="shared" si="30"/>
        <v>5.2133333333333338</v>
      </c>
      <c r="AV38" s="50">
        <f t="shared" si="31"/>
        <v>0.59443577045686535</v>
      </c>
      <c r="AW38" s="67">
        <f t="shared" si="32"/>
        <v>0.3710019848627083</v>
      </c>
      <c r="AX38" s="57">
        <f t="shared" si="33"/>
        <v>2.8245833333333334</v>
      </c>
      <c r="AY38" s="48">
        <f t="shared" si="34"/>
        <v>-0.74043653933406384</v>
      </c>
      <c r="AZ38" s="54">
        <f t="shared" si="35"/>
        <v>0.30075698364185982</v>
      </c>
    </row>
    <row r="39" spans="1:52" x14ac:dyDescent="0.3">
      <c r="A39" s="1">
        <v>1996</v>
      </c>
      <c r="B39">
        <v>4.6900000000000004</v>
      </c>
      <c r="C39">
        <v>7.32</v>
      </c>
      <c r="D39">
        <v>8.49</v>
      </c>
      <c r="E39">
        <v>9.8699999999999992</v>
      </c>
      <c r="F39">
        <v>15.05</v>
      </c>
      <c r="G39">
        <v>28.12</v>
      </c>
      <c r="H39">
        <v>39.79</v>
      </c>
      <c r="I39">
        <v>54.29</v>
      </c>
      <c r="J39">
        <v>73.260000000000005</v>
      </c>
      <c r="M39" s="1">
        <v>1996</v>
      </c>
      <c r="N39">
        <f t="shared" si="0"/>
        <v>56.28</v>
      </c>
      <c r="O39">
        <f t="shared" si="1"/>
        <v>43.92</v>
      </c>
      <c r="P39">
        <f t="shared" si="2"/>
        <v>33.96</v>
      </c>
      <c r="Q39">
        <f t="shared" si="3"/>
        <v>19.739999999999998</v>
      </c>
      <c r="R39">
        <f t="shared" si="4"/>
        <v>15.05</v>
      </c>
      <c r="S39">
        <f t="shared" si="5"/>
        <v>14.06</v>
      </c>
      <c r="T39">
        <f t="shared" si="6"/>
        <v>6.6316666666666668</v>
      </c>
      <c r="U39">
        <f t="shared" si="7"/>
        <v>4.5241666666666669</v>
      </c>
      <c r="V39">
        <f t="shared" si="8"/>
        <v>3.0525000000000002</v>
      </c>
      <c r="Y39" s="21">
        <v>1994</v>
      </c>
      <c r="Z39" s="62">
        <f t="shared" si="36"/>
        <v>5.64</v>
      </c>
      <c r="AA39" s="48">
        <f t="shared" si="37"/>
        <v>-1.3614526432993721</v>
      </c>
      <c r="AB39" s="54">
        <f t="shared" si="38"/>
        <v>6.846215367185062E-3</v>
      </c>
      <c r="AC39" s="66">
        <f t="shared" si="12"/>
        <v>12.54</v>
      </c>
      <c r="AD39" s="50">
        <f t="shared" si="13"/>
        <v>-1.2040574806106532</v>
      </c>
      <c r="AE39" s="67">
        <f t="shared" si="14"/>
        <v>1.6107220404639421E-2</v>
      </c>
      <c r="AF39" s="68">
        <f t="shared" si="15"/>
        <v>23.36</v>
      </c>
      <c r="AG39" s="51">
        <f t="shared" si="16"/>
        <v>4.5125079611768086E-2</v>
      </c>
      <c r="AH39" s="69">
        <f t="shared" si="17"/>
        <v>4.8707432537831531E-2</v>
      </c>
      <c r="AI39" s="66">
        <f t="shared" si="18"/>
        <v>33.840000000000003</v>
      </c>
      <c r="AJ39" s="50">
        <f t="shared" si="19"/>
        <v>1.8756936529593029</v>
      </c>
      <c r="AK39" s="67">
        <f t="shared" si="20"/>
        <v>2.3219445954201518E-2</v>
      </c>
      <c r="AL39" s="62">
        <f t="shared" si="21"/>
        <v>12.67</v>
      </c>
      <c r="AM39" s="48">
        <f t="shared" si="22"/>
        <v>-1.0961256599552422</v>
      </c>
      <c r="AN39" s="54">
        <f t="shared" si="23"/>
        <v>3.9791447126618716E-2</v>
      </c>
      <c r="AO39" s="70">
        <f t="shared" si="24"/>
        <v>14.77</v>
      </c>
      <c r="AP39" s="50">
        <f t="shared" si="25"/>
        <v>-0.3967303171848241</v>
      </c>
      <c r="AQ39" s="67">
        <f t="shared" si="26"/>
        <v>0.12368886060078459</v>
      </c>
      <c r="AR39" s="62">
        <f t="shared" si="27"/>
        <v>11.865</v>
      </c>
      <c r="AS39" s="48">
        <f t="shared" si="28"/>
        <v>2.8389292266108743</v>
      </c>
      <c r="AT39" s="54">
        <f t="shared" si="29"/>
        <v>4.0914443786729184E-2</v>
      </c>
      <c r="AU39" s="66">
        <f t="shared" si="30"/>
        <v>3.9258333333333333</v>
      </c>
      <c r="AV39" s="50">
        <f t="shared" si="31"/>
        <v>-0.57749523595213559</v>
      </c>
      <c r="AW39" s="67">
        <f t="shared" si="32"/>
        <v>0.3501780910778563</v>
      </c>
      <c r="AX39" s="57">
        <f t="shared" si="33"/>
        <v>5.9716666666666667</v>
      </c>
      <c r="AY39" s="48">
        <f t="shared" si="34"/>
        <v>2.1247292896480539</v>
      </c>
      <c r="AZ39" s="54">
        <f t="shared" si="35"/>
        <v>0.1237820198816329</v>
      </c>
    </row>
    <row r="40" spans="1:52" x14ac:dyDescent="0.3">
      <c r="A40" s="1">
        <v>1997</v>
      </c>
      <c r="B40">
        <v>1.03</v>
      </c>
      <c r="C40">
        <v>3.65</v>
      </c>
      <c r="D40">
        <v>8.2799999999999994</v>
      </c>
      <c r="E40">
        <v>17.170000000000002</v>
      </c>
      <c r="F40">
        <v>18.14</v>
      </c>
      <c r="G40">
        <v>40.590000000000003</v>
      </c>
      <c r="H40">
        <v>44.99</v>
      </c>
      <c r="I40">
        <v>51.66</v>
      </c>
      <c r="J40">
        <v>73.84</v>
      </c>
      <c r="M40" s="1">
        <v>1997</v>
      </c>
      <c r="N40">
        <f t="shared" si="0"/>
        <v>12.36</v>
      </c>
      <c r="O40">
        <f t="shared" si="1"/>
        <v>21.9</v>
      </c>
      <c r="P40">
        <f t="shared" si="2"/>
        <v>33.119999999999997</v>
      </c>
      <c r="Q40">
        <f t="shared" si="3"/>
        <v>34.340000000000003</v>
      </c>
      <c r="R40">
        <f t="shared" si="4"/>
        <v>18.14</v>
      </c>
      <c r="S40">
        <f t="shared" si="5"/>
        <v>20.295000000000002</v>
      </c>
      <c r="T40">
        <f t="shared" si="6"/>
        <v>7.498333333333334</v>
      </c>
      <c r="U40">
        <f t="shared" si="7"/>
        <v>4.3049999999999997</v>
      </c>
      <c r="V40">
        <f t="shared" si="8"/>
        <v>3.0766666666666667</v>
      </c>
      <c r="Y40" s="21">
        <v>1995</v>
      </c>
      <c r="Z40" s="62">
        <f t="shared" si="36"/>
        <v>25.44</v>
      </c>
      <c r="AA40" s="48">
        <f t="shared" si="37"/>
        <v>-2.0720407283876623E-2</v>
      </c>
      <c r="AB40" s="54">
        <f t="shared" si="38"/>
        <v>3.1940806432680414E-2</v>
      </c>
      <c r="AC40" s="66">
        <f t="shared" si="12"/>
        <v>8.1000000000000014</v>
      </c>
      <c r="AD40" s="50">
        <f t="shared" si="13"/>
        <v>-1.6730884697237693</v>
      </c>
      <c r="AE40" s="67">
        <f t="shared" si="14"/>
        <v>3.5019312580786546E-3</v>
      </c>
      <c r="AF40" s="68">
        <f t="shared" si="15"/>
        <v>7.32</v>
      </c>
      <c r="AG40" s="51">
        <f t="shared" si="16"/>
        <v>-1.6124465470434182</v>
      </c>
      <c r="AH40" s="69">
        <f t="shared" si="17"/>
        <v>4.411502577721365E-3</v>
      </c>
      <c r="AI40" s="66">
        <f t="shared" si="18"/>
        <v>15.68</v>
      </c>
      <c r="AJ40" s="50">
        <f t="shared" si="19"/>
        <v>-0.62504760963088379</v>
      </c>
      <c r="AK40" s="67">
        <f t="shared" si="20"/>
        <v>5.0939828376430157E-2</v>
      </c>
      <c r="AL40" s="62">
        <f t="shared" si="21"/>
        <v>14.12</v>
      </c>
      <c r="AM40" s="48">
        <f t="shared" si="22"/>
        <v>-0.79641187399727476</v>
      </c>
      <c r="AN40" s="54">
        <f t="shared" si="23"/>
        <v>6.4002226477108057E-2</v>
      </c>
      <c r="AO40" s="70">
        <f t="shared" si="24"/>
        <v>19.065000000000001</v>
      </c>
      <c r="AP40" s="50">
        <f t="shared" si="25"/>
        <v>0.83556526213813265</v>
      </c>
      <c r="AQ40" s="67">
        <f t="shared" si="26"/>
        <v>0.10342008782437528</v>
      </c>
      <c r="AR40" s="62">
        <f t="shared" si="27"/>
        <v>4.9016666666666664</v>
      </c>
      <c r="AS40" s="48">
        <f t="shared" si="28"/>
        <v>-1.1879526400249372</v>
      </c>
      <c r="AT40" s="54">
        <f t="shared" si="29"/>
        <v>9.151427974526806E-2</v>
      </c>
      <c r="AU40" s="66">
        <f t="shared" si="30"/>
        <v>4.1391666666666671</v>
      </c>
      <c r="AV40" s="50">
        <f t="shared" si="31"/>
        <v>-0.38331119864423602</v>
      </c>
      <c r="AW40" s="67">
        <f t="shared" si="32"/>
        <v>0.39492414717554131</v>
      </c>
      <c r="AX40" s="57">
        <f t="shared" si="33"/>
        <v>3.4520833333333329</v>
      </c>
      <c r="AY40" s="48">
        <f t="shared" si="34"/>
        <v>-0.16914834412062996</v>
      </c>
      <c r="AZ40" s="54">
        <f t="shared" si="35"/>
        <v>0.42308336645114758</v>
      </c>
    </row>
    <row r="41" spans="1:52" x14ac:dyDescent="0.3">
      <c r="A41" s="1">
        <v>1998</v>
      </c>
      <c r="B41">
        <v>2.31</v>
      </c>
      <c r="C41">
        <v>3.24</v>
      </c>
      <c r="D41">
        <v>3.71</v>
      </c>
      <c r="E41">
        <v>18.73</v>
      </c>
      <c r="F41">
        <v>18.32</v>
      </c>
      <c r="G41">
        <v>38.79</v>
      </c>
      <c r="H41">
        <v>70.209999999999994</v>
      </c>
      <c r="I41">
        <v>70.25</v>
      </c>
      <c r="J41">
        <v>113.54</v>
      </c>
      <c r="M41" s="1">
        <v>1998</v>
      </c>
      <c r="N41">
        <f t="shared" si="0"/>
        <v>27.72</v>
      </c>
      <c r="O41">
        <f t="shared" si="1"/>
        <v>19.440000000000001</v>
      </c>
      <c r="P41">
        <f t="shared" si="2"/>
        <v>14.84</v>
      </c>
      <c r="Q41">
        <f t="shared" si="3"/>
        <v>37.46</v>
      </c>
      <c r="R41">
        <f t="shared" si="4"/>
        <v>18.32</v>
      </c>
      <c r="S41">
        <f t="shared" si="5"/>
        <v>19.395</v>
      </c>
      <c r="T41">
        <f t="shared" si="6"/>
        <v>11.701666666666666</v>
      </c>
      <c r="U41">
        <f t="shared" si="7"/>
        <v>5.854166666666667</v>
      </c>
      <c r="V41">
        <f t="shared" si="8"/>
        <v>4.7308333333333339</v>
      </c>
      <c r="Y41" s="21">
        <v>1996</v>
      </c>
      <c r="Z41" s="62">
        <f t="shared" si="36"/>
        <v>56.28</v>
      </c>
      <c r="AA41" s="48">
        <f t="shared" si="37"/>
        <v>2.0675716209341983</v>
      </c>
      <c r="AB41" s="54">
        <f t="shared" si="38"/>
        <v>9.6797526370355526E-3</v>
      </c>
      <c r="AC41" s="66">
        <f t="shared" si="12"/>
        <v>43.92</v>
      </c>
      <c r="AD41" s="50">
        <f t="shared" si="13"/>
        <v>2.1108507262293452</v>
      </c>
      <c r="AE41" s="67">
        <f t="shared" si="14"/>
        <v>1.4539079566298387E-2</v>
      </c>
      <c r="AF41" s="68">
        <f t="shared" si="15"/>
        <v>33.96</v>
      </c>
      <c r="AG41" s="51">
        <f t="shared" si="16"/>
        <v>1.140527775531031</v>
      </c>
      <c r="AH41" s="69">
        <f t="shared" si="17"/>
        <v>3.0773581585880231E-2</v>
      </c>
      <c r="AI41" s="66">
        <f t="shared" si="18"/>
        <v>19.739999999999998</v>
      </c>
      <c r="AJ41" s="50">
        <f t="shared" si="19"/>
        <v>-6.5961181981315925E-2</v>
      </c>
      <c r="AK41" s="67">
        <f t="shared" si="20"/>
        <v>6.4826101766215644E-2</v>
      </c>
      <c r="AL41" s="62">
        <f t="shared" si="21"/>
        <v>15.05</v>
      </c>
      <c r="AM41" s="48">
        <f t="shared" si="22"/>
        <v>-0.60418165265871582</v>
      </c>
      <c r="AN41" s="54">
        <f t="shared" si="23"/>
        <v>7.7828146441847434E-2</v>
      </c>
      <c r="AO41" s="70">
        <f t="shared" si="24"/>
        <v>14.06</v>
      </c>
      <c r="AP41" s="50">
        <f t="shared" si="25"/>
        <v>-0.60043924880747779</v>
      </c>
      <c r="AQ41" s="67">
        <f t="shared" si="26"/>
        <v>0.10836592399839948</v>
      </c>
      <c r="AR41" s="62">
        <f t="shared" si="27"/>
        <v>6.6316666666666668</v>
      </c>
      <c r="AS41" s="48">
        <f t="shared" si="28"/>
        <v>-0.18749706856300008</v>
      </c>
      <c r="AT41" s="54">
        <f t="shared" si="29"/>
        <v>0.26778140411121437</v>
      </c>
      <c r="AU41" s="66">
        <f t="shared" si="30"/>
        <v>4.5241666666666669</v>
      </c>
      <c r="AV41" s="50">
        <f t="shared" si="31"/>
        <v>-3.2869693815137033E-2</v>
      </c>
      <c r="AW41" s="67">
        <f t="shared" si="32"/>
        <v>0.42922054102927532</v>
      </c>
      <c r="AX41" s="57">
        <f t="shared" si="33"/>
        <v>3.0525000000000002</v>
      </c>
      <c r="AY41" s="48">
        <f t="shared" si="34"/>
        <v>-0.53293677653077787</v>
      </c>
      <c r="AZ41" s="54">
        <f t="shared" si="35"/>
        <v>0.36202905041829436</v>
      </c>
    </row>
    <row r="42" spans="1:52" x14ac:dyDescent="0.3">
      <c r="A42" s="1">
        <v>1999</v>
      </c>
      <c r="B42">
        <v>2.15</v>
      </c>
      <c r="C42">
        <v>2.88</v>
      </c>
      <c r="D42">
        <v>6.28</v>
      </c>
      <c r="E42">
        <v>8.07</v>
      </c>
      <c r="F42">
        <v>18.41</v>
      </c>
      <c r="G42">
        <v>28.79</v>
      </c>
      <c r="H42">
        <v>44.24</v>
      </c>
      <c r="I42">
        <v>50.62</v>
      </c>
      <c r="J42">
        <v>72.34</v>
      </c>
      <c r="M42" s="1">
        <v>1999</v>
      </c>
      <c r="N42">
        <f t="shared" si="0"/>
        <v>25.799999999999997</v>
      </c>
      <c r="O42">
        <f t="shared" si="1"/>
        <v>17.28</v>
      </c>
      <c r="P42">
        <f t="shared" si="2"/>
        <v>25.12</v>
      </c>
      <c r="Q42">
        <f t="shared" si="3"/>
        <v>16.14</v>
      </c>
      <c r="R42">
        <f t="shared" si="4"/>
        <v>18.41</v>
      </c>
      <c r="S42">
        <f t="shared" si="5"/>
        <v>14.395</v>
      </c>
      <c r="T42">
        <f t="shared" si="6"/>
        <v>7.373333333333334</v>
      </c>
      <c r="U42">
        <f t="shared" si="7"/>
        <v>4.2183333333333328</v>
      </c>
      <c r="V42">
        <f t="shared" si="8"/>
        <v>3.0141666666666667</v>
      </c>
      <c r="Y42" s="21">
        <v>1997</v>
      </c>
      <c r="Z42" s="62">
        <f t="shared" si="36"/>
        <v>12.36</v>
      </c>
      <c r="AA42" s="48">
        <f t="shared" si="37"/>
        <v>-0.90641624804562826</v>
      </c>
      <c r="AB42" s="54">
        <f t="shared" si="38"/>
        <v>1.8084975756305049E-2</v>
      </c>
      <c r="AC42" s="66">
        <f t="shared" si="12"/>
        <v>21.9</v>
      </c>
      <c r="AD42" s="50">
        <f t="shared" si="13"/>
        <v>-0.21528944950732687</v>
      </c>
      <c r="AE42" s="67">
        <f t="shared" si="14"/>
        <v>4.8613165337144965E-2</v>
      </c>
      <c r="AF42" s="68">
        <f t="shared" si="15"/>
        <v>33.119999999999997</v>
      </c>
      <c r="AG42" s="51">
        <f t="shared" si="16"/>
        <v>1.0537222788732779</v>
      </c>
      <c r="AH42" s="69">
        <f t="shared" si="17"/>
        <v>3.2605296583872477E-2</v>
      </c>
      <c r="AI42" s="66">
        <f t="shared" si="18"/>
        <v>34.340000000000003</v>
      </c>
      <c r="AJ42" s="50">
        <f t="shared" si="19"/>
        <v>1.9445466612905304</v>
      </c>
      <c r="AK42" s="67">
        <f t="shared" si="20"/>
        <v>2.1896650411235095E-2</v>
      </c>
      <c r="AL42" s="62">
        <f t="shared" si="21"/>
        <v>18.14</v>
      </c>
      <c r="AM42" s="48">
        <f t="shared" si="22"/>
        <v>3.4518760175849754E-2</v>
      </c>
      <c r="AN42" s="54">
        <f t="shared" si="23"/>
        <v>9.746435662046328E-2</v>
      </c>
      <c r="AO42" s="70">
        <f t="shared" si="24"/>
        <v>20.295000000000002</v>
      </c>
      <c r="AP42" s="50">
        <f t="shared" si="25"/>
        <v>1.1884694676252656</v>
      </c>
      <c r="AQ42" s="67">
        <f t="shared" si="26"/>
        <v>8.2668370447349634E-2</v>
      </c>
      <c r="AR42" s="62">
        <f t="shared" si="27"/>
        <v>7.498333333333334</v>
      </c>
      <c r="AS42" s="48">
        <f t="shared" si="28"/>
        <v>0.31369454719827872</v>
      </c>
      <c r="AT42" s="54">
        <f t="shared" si="29"/>
        <v>0.26098524880363005</v>
      </c>
      <c r="AU42" s="66">
        <f t="shared" si="30"/>
        <v>4.3049999999999997</v>
      </c>
      <c r="AV42" s="50">
        <f t="shared" si="31"/>
        <v>-0.23236345089317448</v>
      </c>
      <c r="AW42" s="67">
        <f t="shared" si="32"/>
        <v>0.4170901261605876</v>
      </c>
      <c r="AX42" s="57">
        <f t="shared" si="33"/>
        <v>3.0766666666666667</v>
      </c>
      <c r="AY42" s="48">
        <f t="shared" si="34"/>
        <v>-0.51093497352787021</v>
      </c>
      <c r="AZ42" s="54">
        <f t="shared" si="35"/>
        <v>0.36752919431973341</v>
      </c>
    </row>
    <row r="43" spans="1:52" x14ac:dyDescent="0.3">
      <c r="A43" s="1">
        <v>2000</v>
      </c>
      <c r="B43">
        <v>2.2200000000000002</v>
      </c>
      <c r="C43">
        <v>1.44</v>
      </c>
      <c r="D43">
        <v>4.79</v>
      </c>
      <c r="E43">
        <v>15.26</v>
      </c>
      <c r="F43">
        <v>18.22</v>
      </c>
      <c r="G43">
        <v>26.15</v>
      </c>
      <c r="H43">
        <v>52.42</v>
      </c>
      <c r="I43">
        <v>42.6</v>
      </c>
      <c r="J43">
        <v>107.45</v>
      </c>
      <c r="M43" s="1">
        <v>2000</v>
      </c>
      <c r="N43">
        <f t="shared" si="0"/>
        <v>26.64</v>
      </c>
      <c r="O43">
        <f t="shared" si="1"/>
        <v>8.64</v>
      </c>
      <c r="P43">
        <f t="shared" si="2"/>
        <v>19.16</v>
      </c>
      <c r="Q43">
        <f t="shared" si="3"/>
        <v>30.52</v>
      </c>
      <c r="R43">
        <f t="shared" si="4"/>
        <v>18.22</v>
      </c>
      <c r="S43">
        <f t="shared" si="5"/>
        <v>13.074999999999999</v>
      </c>
      <c r="T43">
        <f t="shared" si="6"/>
        <v>8.7366666666666664</v>
      </c>
      <c r="U43">
        <f t="shared" si="7"/>
        <v>3.5500000000000003</v>
      </c>
      <c r="V43">
        <f t="shared" si="8"/>
        <v>4.4770833333333337</v>
      </c>
      <c r="Y43" s="21">
        <v>1998</v>
      </c>
      <c r="Z43" s="62">
        <f t="shared" si="36"/>
        <v>27.72</v>
      </c>
      <c r="AA43" s="48">
        <f t="shared" si="37"/>
        <v>0.13366694110578634</v>
      </c>
      <c r="AB43" s="54">
        <f t="shared" si="38"/>
        <v>3.1675775363394963E-2</v>
      </c>
      <c r="AC43" s="66">
        <f t="shared" si="12"/>
        <v>19.440000000000001</v>
      </c>
      <c r="AD43" s="50">
        <f t="shared" si="13"/>
        <v>-0.47515797050243158</v>
      </c>
      <c r="AE43" s="67">
        <f t="shared" si="14"/>
        <v>4.3628713359616357E-2</v>
      </c>
      <c r="AF43" s="68">
        <f t="shared" si="15"/>
        <v>14.84</v>
      </c>
      <c r="AG43" s="51">
        <f t="shared" si="16"/>
        <v>-0.83533067220258272</v>
      </c>
      <c r="AH43" s="69">
        <f t="shared" si="17"/>
        <v>3.0465320087488378E-2</v>
      </c>
      <c r="AI43" s="66">
        <f t="shared" si="18"/>
        <v>37.46</v>
      </c>
      <c r="AJ43" s="50">
        <f t="shared" si="19"/>
        <v>2.3741894332773903</v>
      </c>
      <c r="AK43" s="67">
        <f t="shared" si="20"/>
        <v>1.4979057356863655E-2</v>
      </c>
      <c r="AL43" s="62">
        <f t="shared" si="21"/>
        <v>18.32</v>
      </c>
      <c r="AM43" s="48">
        <f t="shared" si="22"/>
        <v>7.172460946718362E-2</v>
      </c>
      <c r="AN43" s="54">
        <f t="shared" si="23"/>
        <v>9.7277129883785923E-2</v>
      </c>
      <c r="AO43" s="70">
        <f t="shared" si="24"/>
        <v>19.395</v>
      </c>
      <c r="AP43" s="50">
        <f t="shared" si="25"/>
        <v>0.93024687824443608</v>
      </c>
      <c r="AQ43" s="67">
        <f t="shared" si="26"/>
        <v>9.7835801867194275E-2</v>
      </c>
      <c r="AR43" s="62">
        <f t="shared" si="27"/>
        <v>11.701666666666666</v>
      </c>
      <c r="AS43" s="48">
        <f t="shared" si="28"/>
        <v>2.7444738836404787</v>
      </c>
      <c r="AT43" s="54">
        <f t="shared" si="29"/>
        <v>4.4707650571326543E-2</v>
      </c>
      <c r="AU43" s="66">
        <f t="shared" si="30"/>
        <v>5.854166666666667</v>
      </c>
      <c r="AV43" s="50">
        <f t="shared" si="31"/>
        <v>1.1777464137762965</v>
      </c>
      <c r="AW43" s="67">
        <f t="shared" si="32"/>
        <v>0.26422437098335927</v>
      </c>
      <c r="AX43" s="57">
        <f t="shared" si="33"/>
        <v>4.7308333333333339</v>
      </c>
      <c r="AY43" s="48">
        <f t="shared" si="34"/>
        <v>0.99505050787806282</v>
      </c>
      <c r="AZ43" s="54">
        <f t="shared" si="35"/>
        <v>0.29825875931511647</v>
      </c>
    </row>
    <row r="44" spans="1:52" x14ac:dyDescent="0.3">
      <c r="A44" s="1">
        <v>2001</v>
      </c>
      <c r="B44">
        <v>2.52</v>
      </c>
      <c r="C44">
        <v>2.5</v>
      </c>
      <c r="D44">
        <v>7.97</v>
      </c>
      <c r="E44">
        <v>10.72</v>
      </c>
      <c r="F44">
        <v>16.93</v>
      </c>
      <c r="G44">
        <v>26.4</v>
      </c>
      <c r="H44">
        <v>29.81</v>
      </c>
      <c r="I44">
        <v>56.3</v>
      </c>
      <c r="J44">
        <v>64.099999999999994</v>
      </c>
      <c r="M44" s="1">
        <v>2001</v>
      </c>
      <c r="N44">
        <f t="shared" si="0"/>
        <v>30.240000000000002</v>
      </c>
      <c r="O44">
        <f t="shared" si="1"/>
        <v>15</v>
      </c>
      <c r="P44">
        <f t="shared" si="2"/>
        <v>31.88</v>
      </c>
      <c r="Q44">
        <f t="shared" si="3"/>
        <v>21.44</v>
      </c>
      <c r="R44">
        <f t="shared" si="4"/>
        <v>16.93</v>
      </c>
      <c r="S44">
        <f t="shared" si="5"/>
        <v>13.2</v>
      </c>
      <c r="T44">
        <f t="shared" si="6"/>
        <v>4.9683333333333328</v>
      </c>
      <c r="U44">
        <f t="shared" si="7"/>
        <v>4.6916666666666664</v>
      </c>
      <c r="V44">
        <f t="shared" si="8"/>
        <v>2.6708333333333329</v>
      </c>
      <c r="Y44" s="21">
        <v>1999</v>
      </c>
      <c r="Z44" s="62">
        <f t="shared" si="36"/>
        <v>25.799999999999997</v>
      </c>
      <c r="AA44" s="48">
        <f t="shared" si="37"/>
        <v>3.656542461859378E-3</v>
      </c>
      <c r="AB44" s="54">
        <f t="shared" si="38"/>
        <v>3.1947498125863248E-2</v>
      </c>
      <c r="AC44" s="66">
        <f t="shared" si="12"/>
        <v>17.28</v>
      </c>
      <c r="AD44" s="50">
        <f t="shared" si="13"/>
        <v>-0.70333520844935304</v>
      </c>
      <c r="AE44" s="67">
        <f t="shared" si="14"/>
        <v>3.6295028142430942E-2</v>
      </c>
      <c r="AF44" s="68">
        <f t="shared" si="15"/>
        <v>25.12</v>
      </c>
      <c r="AG44" s="51">
        <f t="shared" si="16"/>
        <v>0.22700326308515528</v>
      </c>
      <c r="AH44" s="69">
        <f t="shared" si="17"/>
        <v>4.7603828346934988E-2</v>
      </c>
      <c r="AI44" s="66">
        <f t="shared" si="18"/>
        <v>16.14</v>
      </c>
      <c r="AJ44" s="50">
        <f t="shared" si="19"/>
        <v>-0.56170284196615428</v>
      </c>
      <c r="AK44" s="67">
        <f t="shared" si="20"/>
        <v>5.3623053609996772E-2</v>
      </c>
      <c r="AL44" s="62">
        <f t="shared" si="21"/>
        <v>18.41</v>
      </c>
      <c r="AM44" s="48">
        <f t="shared" si="22"/>
        <v>9.0327534112850549E-2</v>
      </c>
      <c r="AN44" s="54">
        <f t="shared" si="23"/>
        <v>9.7136410977258308E-2</v>
      </c>
      <c r="AO44" s="70">
        <f t="shared" si="24"/>
        <v>14.395</v>
      </c>
      <c r="AP44" s="50">
        <f t="shared" si="25"/>
        <v>-0.50432306276016958</v>
      </c>
      <c r="AQ44" s="67">
        <f t="shared" si="26"/>
        <v>0.11633251674941024</v>
      </c>
      <c r="AR44" s="62">
        <f t="shared" si="27"/>
        <v>7.373333333333334</v>
      </c>
      <c r="AS44" s="48">
        <f t="shared" si="28"/>
        <v>0.24140729492501739</v>
      </c>
      <c r="AT44" s="54">
        <f t="shared" si="29"/>
        <v>0.26559476812307831</v>
      </c>
      <c r="AU44" s="66">
        <f t="shared" si="30"/>
        <v>4.2183333333333328</v>
      </c>
      <c r="AV44" s="50">
        <f t="shared" si="31"/>
        <v>-0.31125071604950871</v>
      </c>
      <c r="AW44" s="67">
        <f t="shared" si="32"/>
        <v>0.4069280229697303</v>
      </c>
      <c r="AX44" s="57">
        <f t="shared" si="33"/>
        <v>3.0141666666666667</v>
      </c>
      <c r="AY44" s="48">
        <f t="shared" si="34"/>
        <v>-0.56783618819056292</v>
      </c>
      <c r="AZ44" s="54">
        <f t="shared" si="35"/>
        <v>0.3528728895457795</v>
      </c>
    </row>
    <row r="45" spans="1:52" x14ac:dyDescent="0.3">
      <c r="A45" s="1">
        <v>2002</v>
      </c>
      <c r="B45">
        <v>5</v>
      </c>
      <c r="C45">
        <v>7.62</v>
      </c>
      <c r="D45">
        <v>5.75</v>
      </c>
      <c r="E45">
        <v>7.51</v>
      </c>
      <c r="F45">
        <v>14.4</v>
      </c>
      <c r="G45">
        <v>33.43</v>
      </c>
      <c r="H45">
        <v>51.15</v>
      </c>
      <c r="I45">
        <v>50.4</v>
      </c>
      <c r="J45">
        <v>89.04</v>
      </c>
      <c r="M45" s="1">
        <v>2002</v>
      </c>
      <c r="N45">
        <f t="shared" si="0"/>
        <v>60</v>
      </c>
      <c r="O45">
        <f t="shared" si="1"/>
        <v>45.72</v>
      </c>
      <c r="P45">
        <f t="shared" si="2"/>
        <v>23</v>
      </c>
      <c r="Q45">
        <f t="shared" si="3"/>
        <v>15.02</v>
      </c>
      <c r="R45">
        <f t="shared" si="4"/>
        <v>14.4</v>
      </c>
      <c r="S45">
        <f t="shared" si="5"/>
        <v>16.715</v>
      </c>
      <c r="T45">
        <f t="shared" si="6"/>
        <v>8.5250000000000004</v>
      </c>
      <c r="U45">
        <f t="shared" si="7"/>
        <v>4.2</v>
      </c>
      <c r="V45">
        <f t="shared" si="8"/>
        <v>3.7100000000000004</v>
      </c>
      <c r="Y45" s="21">
        <v>2000</v>
      </c>
      <c r="Z45" s="62">
        <f t="shared" si="36"/>
        <v>26.64</v>
      </c>
      <c r="AA45" s="48">
        <f t="shared" si="37"/>
        <v>6.0536091868577599E-2</v>
      </c>
      <c r="AB45" s="54">
        <f t="shared" si="38"/>
        <v>3.1890388402708601E-2</v>
      </c>
      <c r="AC45" s="66">
        <f t="shared" si="12"/>
        <v>8.64</v>
      </c>
      <c r="AD45" s="50">
        <f t="shared" si="13"/>
        <v>-1.616044160237039</v>
      </c>
      <c r="AE45" s="67">
        <f t="shared" si="14"/>
        <v>4.4447753912602453E-3</v>
      </c>
      <c r="AF45" s="68">
        <f t="shared" si="15"/>
        <v>19.16</v>
      </c>
      <c r="AG45" s="51">
        <f t="shared" si="16"/>
        <v>-0.38890240367699636</v>
      </c>
      <c r="AH45" s="69">
        <f t="shared" si="17"/>
        <v>4.4718016743641446E-2</v>
      </c>
      <c r="AI45" s="66">
        <f t="shared" si="18"/>
        <v>30.52</v>
      </c>
      <c r="AJ45" s="50">
        <f t="shared" si="19"/>
        <v>1.4185096776399511</v>
      </c>
      <c r="AK45" s="67">
        <f t="shared" si="20"/>
        <v>3.3560447033212128E-2</v>
      </c>
      <c r="AL45" s="62">
        <f t="shared" si="21"/>
        <v>18.22</v>
      </c>
      <c r="AM45" s="48">
        <f t="shared" si="22"/>
        <v>5.1054693194220034E-2</v>
      </c>
      <c r="AN45" s="54">
        <f t="shared" si="23"/>
        <v>9.7396894164834089E-2</v>
      </c>
      <c r="AO45" s="70">
        <f t="shared" si="24"/>
        <v>13.074999999999999</v>
      </c>
      <c r="AP45" s="50">
        <f t="shared" si="25"/>
        <v>-0.88304952718538554</v>
      </c>
      <c r="AQ45" s="67">
        <f t="shared" si="26"/>
        <v>7.9263700213524774E-2</v>
      </c>
      <c r="AR45" s="62">
        <f t="shared" si="27"/>
        <v>8.7366666666666664</v>
      </c>
      <c r="AS45" s="48">
        <f t="shared" si="28"/>
        <v>1.0298202597187205</v>
      </c>
      <c r="AT45" s="54">
        <f t="shared" si="29"/>
        <v>0.18530613508402791</v>
      </c>
      <c r="AU45" s="66">
        <f t="shared" si="30"/>
        <v>3.5500000000000003</v>
      </c>
      <c r="AV45" s="50">
        <f t="shared" si="31"/>
        <v>-0.91959289542816069</v>
      </c>
      <c r="AW45" s="67">
        <f t="shared" si="32"/>
        <v>0.23837400405017686</v>
      </c>
      <c r="AX45" s="57">
        <f t="shared" si="33"/>
        <v>4.4770833333333337</v>
      </c>
      <c r="AY45" s="48">
        <f t="shared" si="34"/>
        <v>0.76403157634753049</v>
      </c>
      <c r="AZ45" s="54">
        <f t="shared" si="35"/>
        <v>0.3413472687614385</v>
      </c>
    </row>
    <row r="46" spans="1:52" x14ac:dyDescent="0.3">
      <c r="A46" s="1">
        <v>2003</v>
      </c>
      <c r="B46">
        <v>0.64</v>
      </c>
      <c r="C46">
        <v>3.57</v>
      </c>
      <c r="D46">
        <v>12.2</v>
      </c>
      <c r="E46">
        <v>19.829999999999998</v>
      </c>
      <c r="F46">
        <v>13.3</v>
      </c>
      <c r="G46">
        <v>38.57</v>
      </c>
      <c r="H46">
        <v>45.4</v>
      </c>
      <c r="I46">
        <v>39.869999999999997</v>
      </c>
      <c r="J46">
        <v>73.25</v>
      </c>
      <c r="M46" s="1">
        <v>2003</v>
      </c>
      <c r="N46">
        <f t="shared" si="0"/>
        <v>7.68</v>
      </c>
      <c r="O46">
        <f t="shared" si="1"/>
        <v>21.419999999999998</v>
      </c>
      <c r="P46">
        <f t="shared" si="2"/>
        <v>48.8</v>
      </c>
      <c r="Q46">
        <f t="shared" si="3"/>
        <v>39.659999999999997</v>
      </c>
      <c r="R46">
        <f t="shared" si="4"/>
        <v>13.3</v>
      </c>
      <c r="S46">
        <f t="shared" si="5"/>
        <v>19.285</v>
      </c>
      <c r="T46">
        <f t="shared" si="6"/>
        <v>7.5666666666666664</v>
      </c>
      <c r="U46">
        <f t="shared" si="7"/>
        <v>3.3224999999999998</v>
      </c>
      <c r="V46">
        <f t="shared" si="8"/>
        <v>3.0520833333333335</v>
      </c>
      <c r="Y46" s="21">
        <v>2001</v>
      </c>
      <c r="Z46" s="62">
        <f t="shared" si="36"/>
        <v>30.240000000000002</v>
      </c>
      <c r="AA46" s="48">
        <f t="shared" si="37"/>
        <v>0.30430558932594048</v>
      </c>
      <c r="AB46" s="54">
        <f t="shared" si="38"/>
        <v>3.0635502260347624E-2</v>
      </c>
      <c r="AC46" s="66">
        <f t="shared" si="12"/>
        <v>15</v>
      </c>
      <c r="AD46" s="50">
        <f t="shared" si="13"/>
        <v>-0.94418895961554816</v>
      </c>
      <c r="AE46" s="67">
        <f t="shared" si="14"/>
        <v>2.6636625131040526E-2</v>
      </c>
      <c r="AF46" s="68">
        <f t="shared" si="15"/>
        <v>31.88</v>
      </c>
      <c r="AG46" s="51">
        <f t="shared" si="16"/>
        <v>0.92558083142611891</v>
      </c>
      <c r="AH46" s="69">
        <f t="shared" si="17"/>
        <v>3.5337779447682738E-2</v>
      </c>
      <c r="AI46" s="66">
        <f t="shared" si="18"/>
        <v>21.44</v>
      </c>
      <c r="AJ46" s="50">
        <f t="shared" si="19"/>
        <v>0.16813904634485827</v>
      </c>
      <c r="AK46" s="67">
        <f t="shared" si="20"/>
        <v>6.4107223647938458E-2</v>
      </c>
      <c r="AL46" s="62">
        <f t="shared" si="21"/>
        <v>16.93</v>
      </c>
      <c r="AM46" s="48">
        <f t="shared" si="22"/>
        <v>-0.21558722672700623</v>
      </c>
      <c r="AN46" s="54">
        <f t="shared" si="23"/>
        <v>9.5113674502639314E-2</v>
      </c>
      <c r="AO46" s="70">
        <f t="shared" si="24"/>
        <v>13.2</v>
      </c>
      <c r="AP46" s="50">
        <f t="shared" si="25"/>
        <v>-0.84718527866027038</v>
      </c>
      <c r="AQ46" s="67">
        <f t="shared" si="26"/>
        <v>8.3271670181019358E-2</v>
      </c>
      <c r="AR46" s="62">
        <f t="shared" si="27"/>
        <v>4.9683333333333328</v>
      </c>
      <c r="AS46" s="48">
        <f t="shared" si="28"/>
        <v>-1.1493994388125313</v>
      </c>
      <c r="AT46" s="54">
        <f t="shared" si="29"/>
        <v>9.9683810739469622E-2</v>
      </c>
      <c r="AU46" s="66">
        <f t="shared" si="30"/>
        <v>4.6916666666666664</v>
      </c>
      <c r="AV46" s="50">
        <f t="shared" si="31"/>
        <v>0.1195951167273927</v>
      </c>
      <c r="AW46" s="67">
        <f t="shared" si="32"/>
        <v>0.42651277485911804</v>
      </c>
      <c r="AX46" s="57">
        <f t="shared" si="33"/>
        <v>2.6708333333333329</v>
      </c>
      <c r="AY46" s="48">
        <f t="shared" si="34"/>
        <v>-0.88041352740428824</v>
      </c>
      <c r="AZ46" s="54">
        <f t="shared" si="35"/>
        <v>0.25245508463366401</v>
      </c>
    </row>
    <row r="47" spans="1:52" x14ac:dyDescent="0.3">
      <c r="A47" s="1">
        <v>2004</v>
      </c>
      <c r="B47">
        <v>3.05</v>
      </c>
      <c r="C47">
        <v>5.52</v>
      </c>
      <c r="D47">
        <v>7.14</v>
      </c>
      <c r="E47">
        <v>6.46</v>
      </c>
      <c r="F47">
        <v>15.61</v>
      </c>
      <c r="G47">
        <v>35.17</v>
      </c>
      <c r="H47">
        <v>48.93</v>
      </c>
      <c r="I47">
        <v>63.49</v>
      </c>
      <c r="J47">
        <v>98.63</v>
      </c>
      <c r="M47" s="1">
        <v>2004</v>
      </c>
      <c r="N47">
        <f t="shared" si="0"/>
        <v>36.599999999999994</v>
      </c>
      <c r="O47">
        <f t="shared" si="1"/>
        <v>33.119999999999997</v>
      </c>
      <c r="P47">
        <f t="shared" si="2"/>
        <v>28.56</v>
      </c>
      <c r="Q47">
        <f t="shared" si="3"/>
        <v>12.92</v>
      </c>
      <c r="R47">
        <f t="shared" si="4"/>
        <v>15.61</v>
      </c>
      <c r="S47">
        <f t="shared" si="5"/>
        <v>17.585000000000001</v>
      </c>
      <c r="T47">
        <f t="shared" si="6"/>
        <v>8.1549999999999994</v>
      </c>
      <c r="U47">
        <f t="shared" si="7"/>
        <v>5.2908333333333335</v>
      </c>
      <c r="V47">
        <f t="shared" si="8"/>
        <v>4.1095833333333331</v>
      </c>
      <c r="Y47" s="21">
        <v>2002</v>
      </c>
      <c r="Z47" s="62">
        <f t="shared" si="36"/>
        <v>60</v>
      </c>
      <c r="AA47" s="48">
        <f t="shared" si="37"/>
        <v>2.3194667683068064</v>
      </c>
      <c r="AB47" s="54">
        <f t="shared" si="38"/>
        <v>7.7392731766977672E-3</v>
      </c>
      <c r="AC47" s="66">
        <f t="shared" si="12"/>
        <v>45.72</v>
      </c>
      <c r="AD47" s="50">
        <f t="shared" si="13"/>
        <v>2.3009984245184461</v>
      </c>
      <c r="AE47" s="67">
        <f t="shared" si="14"/>
        <v>1.2276275092089433E-2</v>
      </c>
      <c r="AF47" s="68">
        <f t="shared" si="15"/>
        <v>23</v>
      </c>
      <c r="AG47" s="51">
        <f t="shared" si="16"/>
        <v>7.9227239013026137E-3</v>
      </c>
      <c r="AH47" s="69">
        <f t="shared" si="17"/>
        <v>4.8754784117011653E-2</v>
      </c>
      <c r="AI47" s="66">
        <f t="shared" si="18"/>
        <v>15.02</v>
      </c>
      <c r="AJ47" s="50">
        <f t="shared" si="19"/>
        <v>-0.71593358062810419</v>
      </c>
      <c r="AK47" s="67">
        <f t="shared" si="20"/>
        <v>4.6701206105417073E-2</v>
      </c>
      <c r="AL47" s="62">
        <f t="shared" si="21"/>
        <v>14.4</v>
      </c>
      <c r="AM47" s="48">
        <f t="shared" si="22"/>
        <v>-0.73853610843297735</v>
      </c>
      <c r="AN47" s="54">
        <f t="shared" si="23"/>
        <v>6.8425275804421551E-2</v>
      </c>
      <c r="AO47" s="70">
        <f t="shared" si="24"/>
        <v>16.715</v>
      </c>
      <c r="AP47" s="50">
        <f t="shared" si="25"/>
        <v>0.16131738986596755</v>
      </c>
      <c r="AQ47" s="67">
        <f t="shared" si="26"/>
        <v>0.13370748470176341</v>
      </c>
      <c r="AR47" s="62">
        <f t="shared" si="27"/>
        <v>8.5250000000000004</v>
      </c>
      <c r="AS47" s="48">
        <f t="shared" si="28"/>
        <v>0.9074138458693316</v>
      </c>
      <c r="AT47" s="54">
        <f t="shared" si="29"/>
        <v>0.19992058834555992</v>
      </c>
      <c r="AU47" s="66">
        <f t="shared" si="30"/>
        <v>4.2</v>
      </c>
      <c r="AV47" s="50">
        <f t="shared" si="31"/>
        <v>-0.32793840675565566</v>
      </c>
      <c r="AW47" s="67">
        <f t="shared" si="32"/>
        <v>0.40437876648759341</v>
      </c>
      <c r="AX47" s="57">
        <f t="shared" si="33"/>
        <v>3.7100000000000004</v>
      </c>
      <c r="AY47" s="48">
        <f t="shared" si="34"/>
        <v>6.5664001720749154E-2</v>
      </c>
      <c r="AZ47" s="54">
        <f t="shared" si="35"/>
        <v>0.42863564740319182</v>
      </c>
    </row>
    <row r="48" spans="1:52" x14ac:dyDescent="0.3">
      <c r="A48" s="1">
        <v>2005</v>
      </c>
      <c r="B48">
        <v>1.1399999999999999</v>
      </c>
      <c r="C48">
        <v>3.17</v>
      </c>
      <c r="D48">
        <v>2.1</v>
      </c>
      <c r="E48">
        <v>9.4700000000000006</v>
      </c>
      <c r="F48">
        <v>21.26</v>
      </c>
      <c r="G48">
        <v>33.25</v>
      </c>
      <c r="H48">
        <v>42.48</v>
      </c>
      <c r="I48">
        <v>64.56</v>
      </c>
      <c r="J48">
        <v>105.11</v>
      </c>
      <c r="M48" s="1">
        <v>2005</v>
      </c>
      <c r="N48">
        <f t="shared" si="0"/>
        <v>13.68</v>
      </c>
      <c r="O48">
        <f t="shared" si="1"/>
        <v>19.02</v>
      </c>
      <c r="P48">
        <f t="shared" si="2"/>
        <v>8.4</v>
      </c>
      <c r="Q48">
        <f t="shared" si="3"/>
        <v>18.940000000000001</v>
      </c>
      <c r="R48">
        <f t="shared" si="4"/>
        <v>21.26</v>
      </c>
      <c r="S48">
        <f t="shared" si="5"/>
        <v>16.625</v>
      </c>
      <c r="T48">
        <f t="shared" si="6"/>
        <v>7.0799999999999992</v>
      </c>
      <c r="U48">
        <f t="shared" si="7"/>
        <v>5.38</v>
      </c>
      <c r="V48">
        <f t="shared" si="8"/>
        <v>4.3795833333333336</v>
      </c>
      <c r="Y48" s="21">
        <v>2003</v>
      </c>
      <c r="Z48" s="62">
        <f t="shared" si="36"/>
        <v>7.68</v>
      </c>
      <c r="AA48" s="48">
        <f t="shared" si="37"/>
        <v>-1.2233165947402</v>
      </c>
      <c r="AB48" s="54">
        <f t="shared" si="38"/>
        <v>9.8648391195775842E-3</v>
      </c>
      <c r="AC48" s="66">
        <f t="shared" si="12"/>
        <v>21.419999999999998</v>
      </c>
      <c r="AD48" s="50">
        <f t="shared" si="13"/>
        <v>-0.2659955023844206</v>
      </c>
      <c r="AE48" s="67">
        <f t="shared" si="14"/>
        <v>4.7946800561562322E-2</v>
      </c>
      <c r="AF48" s="68">
        <f t="shared" si="15"/>
        <v>48.8</v>
      </c>
      <c r="AG48" s="51">
        <f t="shared" si="16"/>
        <v>2.6740915498179989</v>
      </c>
      <c r="AH48" s="69">
        <f t="shared" si="17"/>
        <v>8.5315719153710012E-3</v>
      </c>
      <c r="AI48" s="66">
        <f t="shared" si="18"/>
        <v>39.659999999999997</v>
      </c>
      <c r="AJ48" s="50">
        <f t="shared" si="19"/>
        <v>2.6771426699347911</v>
      </c>
      <c r="AK48" s="67">
        <f t="shared" si="20"/>
        <v>1.1336531474075004E-2</v>
      </c>
      <c r="AL48" s="62">
        <f t="shared" si="21"/>
        <v>13.3</v>
      </c>
      <c r="AM48" s="48">
        <f t="shared" si="22"/>
        <v>-0.96590518743557341</v>
      </c>
      <c r="AN48" s="54">
        <f t="shared" si="23"/>
        <v>5.03408182773286E-2</v>
      </c>
      <c r="AO48" s="70">
        <f t="shared" si="24"/>
        <v>19.285</v>
      </c>
      <c r="AP48" s="50">
        <f t="shared" si="25"/>
        <v>0.8986863395423349</v>
      </c>
      <c r="AQ48" s="67">
        <f t="shared" si="26"/>
        <v>9.9703754227001659E-2</v>
      </c>
      <c r="AR48" s="62">
        <f t="shared" si="27"/>
        <v>7.5666666666666664</v>
      </c>
      <c r="AS48" s="48">
        <f t="shared" si="28"/>
        <v>0.35321157844099443</v>
      </c>
      <c r="AT48" s="54">
        <f t="shared" si="29"/>
        <v>0.25807764748858358</v>
      </c>
      <c r="AU48" s="66">
        <f t="shared" si="30"/>
        <v>3.3224999999999998</v>
      </c>
      <c r="AV48" s="50">
        <f t="shared" si="31"/>
        <v>-1.1266719664635378</v>
      </c>
      <c r="AW48" s="67">
        <f t="shared" si="32"/>
        <v>0.16464931281499762</v>
      </c>
      <c r="AX48" s="57">
        <f t="shared" si="33"/>
        <v>3.0520833333333335</v>
      </c>
      <c r="AY48" s="48">
        <f t="shared" si="34"/>
        <v>-0.53331611796186251</v>
      </c>
      <c r="AZ48" s="54">
        <f t="shared" si="35"/>
        <v>0.36193234653049927</v>
      </c>
    </row>
    <row r="49" spans="1:52" x14ac:dyDescent="0.3">
      <c r="A49" s="1">
        <v>2006</v>
      </c>
      <c r="B49">
        <v>1.96</v>
      </c>
      <c r="C49">
        <v>5.26</v>
      </c>
      <c r="D49">
        <v>3.09</v>
      </c>
      <c r="E49">
        <v>6.89</v>
      </c>
      <c r="F49">
        <v>17.940000000000001</v>
      </c>
      <c r="G49">
        <v>39.729999999999997</v>
      </c>
      <c r="H49">
        <v>30.15</v>
      </c>
      <c r="I49">
        <v>38.15</v>
      </c>
      <c r="J49">
        <v>93.87</v>
      </c>
      <c r="M49" s="1">
        <v>2006</v>
      </c>
      <c r="N49">
        <f t="shared" si="0"/>
        <v>23.52</v>
      </c>
      <c r="O49">
        <f t="shared" si="1"/>
        <v>31.56</v>
      </c>
      <c r="P49">
        <f t="shared" si="2"/>
        <v>12.36</v>
      </c>
      <c r="Q49">
        <f t="shared" si="3"/>
        <v>13.78</v>
      </c>
      <c r="R49">
        <f t="shared" si="4"/>
        <v>17.940000000000001</v>
      </c>
      <c r="S49">
        <f t="shared" si="5"/>
        <v>19.864999999999998</v>
      </c>
      <c r="T49">
        <f t="shared" si="6"/>
        <v>5.0249999999999995</v>
      </c>
      <c r="U49">
        <f t="shared" si="7"/>
        <v>3.1791666666666667</v>
      </c>
      <c r="V49">
        <f t="shared" si="8"/>
        <v>3.9112500000000003</v>
      </c>
      <c r="Y49" s="21">
        <v>2004</v>
      </c>
      <c r="Z49" s="62">
        <f t="shared" si="36"/>
        <v>36.599999999999994</v>
      </c>
      <c r="AA49" s="48">
        <f t="shared" si="37"/>
        <v>0.73496503483394759</v>
      </c>
      <c r="AB49" s="54">
        <f t="shared" si="38"/>
        <v>2.5780368430989537E-2</v>
      </c>
      <c r="AC49" s="66">
        <f t="shared" si="12"/>
        <v>33.119999999999997</v>
      </c>
      <c r="AD49" s="50">
        <f t="shared" si="13"/>
        <v>0.96996453649473735</v>
      </c>
      <c r="AE49" s="67">
        <f t="shared" si="14"/>
        <v>3.5154925775540212E-2</v>
      </c>
      <c r="AF49" s="68">
        <f t="shared" si="15"/>
        <v>28.56</v>
      </c>
      <c r="AG49" s="51">
        <f t="shared" si="16"/>
        <v>0.58249243987404786</v>
      </c>
      <c r="AH49" s="69">
        <f t="shared" si="17"/>
        <v>4.2344460060150135E-2</v>
      </c>
      <c r="AI49" s="66">
        <f t="shared" si="18"/>
        <v>12.92</v>
      </c>
      <c r="AJ49" s="50">
        <f t="shared" si="19"/>
        <v>-1.0051162156192601</v>
      </c>
      <c r="AK49" s="67">
        <f t="shared" si="20"/>
        <v>3.1400500456162848E-2</v>
      </c>
      <c r="AL49" s="62">
        <f t="shared" si="21"/>
        <v>15.61</v>
      </c>
      <c r="AM49" s="48">
        <f t="shared" si="22"/>
        <v>-0.48843012153012172</v>
      </c>
      <c r="AN49" s="54">
        <f t="shared" si="23"/>
        <v>8.4669051338349288E-2</v>
      </c>
      <c r="AO49" s="70">
        <f t="shared" si="24"/>
        <v>17.585000000000001</v>
      </c>
      <c r="AP49" s="50">
        <f t="shared" si="25"/>
        <v>0.41093255960076924</v>
      </c>
      <c r="AQ49" s="67">
        <f t="shared" si="26"/>
        <v>0.12571652508234232</v>
      </c>
      <c r="AR49" s="62">
        <f t="shared" si="27"/>
        <v>8.1549999999999994</v>
      </c>
      <c r="AS49" s="48">
        <f t="shared" si="28"/>
        <v>0.6934435791404775</v>
      </c>
      <c r="AT49" s="54">
        <f t="shared" si="29"/>
        <v>0.22488861483356237</v>
      </c>
      <c r="AU49" s="66">
        <f t="shared" si="30"/>
        <v>5.2908333333333335</v>
      </c>
      <c r="AV49" s="50">
        <f t="shared" si="31"/>
        <v>0.66497919026012531</v>
      </c>
      <c r="AW49" s="67">
        <f t="shared" si="32"/>
        <v>0.35897531464265703</v>
      </c>
      <c r="AX49" s="57">
        <f t="shared" si="33"/>
        <v>4.1095833333333331</v>
      </c>
      <c r="AY49" s="48">
        <f t="shared" si="34"/>
        <v>0.42945243413089701</v>
      </c>
      <c r="AZ49" s="54">
        <f t="shared" si="35"/>
        <v>0.39639012306549487</v>
      </c>
    </row>
    <row r="50" spans="1:52" x14ac:dyDescent="0.3">
      <c r="A50" s="1">
        <v>2007</v>
      </c>
      <c r="B50">
        <v>0.24</v>
      </c>
      <c r="C50">
        <v>2.19</v>
      </c>
      <c r="D50">
        <v>4.2699999999999996</v>
      </c>
      <c r="E50">
        <v>8.75</v>
      </c>
      <c r="F50">
        <v>29.27</v>
      </c>
      <c r="G50">
        <v>21.25</v>
      </c>
      <c r="H50">
        <v>29.98</v>
      </c>
      <c r="I50">
        <v>38.33</v>
      </c>
      <c r="J50">
        <v>67.41</v>
      </c>
      <c r="M50" s="1">
        <v>2007</v>
      </c>
      <c r="N50">
        <f t="shared" si="0"/>
        <v>2.88</v>
      </c>
      <c r="O50">
        <f t="shared" si="1"/>
        <v>13.14</v>
      </c>
      <c r="P50">
        <f t="shared" si="2"/>
        <v>17.079999999999998</v>
      </c>
      <c r="Q50">
        <f t="shared" si="3"/>
        <v>17.5</v>
      </c>
      <c r="R50">
        <f t="shared" si="4"/>
        <v>29.27</v>
      </c>
      <c r="S50">
        <f t="shared" si="5"/>
        <v>10.625</v>
      </c>
      <c r="T50">
        <f t="shared" si="6"/>
        <v>4.996666666666667</v>
      </c>
      <c r="U50">
        <f t="shared" si="7"/>
        <v>3.1941666666666664</v>
      </c>
      <c r="V50">
        <f t="shared" si="8"/>
        <v>2.8087499999999999</v>
      </c>
      <c r="Y50" s="21">
        <v>2005</v>
      </c>
      <c r="Z50" s="62">
        <f t="shared" si="36"/>
        <v>13.68</v>
      </c>
      <c r="AA50" s="48">
        <f t="shared" si="37"/>
        <v>-0.81703409897792856</v>
      </c>
      <c r="AB50" s="54">
        <f t="shared" si="38"/>
        <v>2.0437243776393471E-2</v>
      </c>
      <c r="AC50" s="66">
        <f t="shared" si="12"/>
        <v>19.02</v>
      </c>
      <c r="AD50" s="50">
        <f t="shared" si="13"/>
        <v>-0.51952576676988871</v>
      </c>
      <c r="AE50" s="67">
        <f t="shared" si="14"/>
        <v>4.2398855295035558E-2</v>
      </c>
      <c r="AF50" s="68">
        <f t="shared" si="15"/>
        <v>8.4</v>
      </c>
      <c r="AG50" s="51">
        <f t="shared" si="16"/>
        <v>-1.5008394799120217</v>
      </c>
      <c r="AH50" s="69">
        <f t="shared" si="17"/>
        <v>6.7007614716360171E-3</v>
      </c>
      <c r="AI50" s="66">
        <f t="shared" si="18"/>
        <v>18.940000000000001</v>
      </c>
      <c r="AJ50" s="50">
        <f t="shared" si="19"/>
        <v>-0.17612599531127968</v>
      </c>
      <c r="AK50" s="67">
        <f t="shared" si="20"/>
        <v>6.3909631800330324E-2</v>
      </c>
      <c r="AL50" s="62">
        <f t="shared" si="21"/>
        <v>21.26</v>
      </c>
      <c r="AM50" s="48">
        <f t="shared" si="22"/>
        <v>0.67942014789230465</v>
      </c>
      <c r="AN50" s="54">
        <f t="shared" si="23"/>
        <v>8.0942961346460007E-2</v>
      </c>
      <c r="AO50" s="70">
        <f t="shared" si="24"/>
        <v>16.625</v>
      </c>
      <c r="AP50" s="50">
        <f t="shared" si="25"/>
        <v>0.1354951309278847</v>
      </c>
      <c r="AQ50" s="67">
        <f t="shared" si="26"/>
        <v>0.13418443447608</v>
      </c>
      <c r="AR50" s="62">
        <f t="shared" si="27"/>
        <v>7.0799999999999992</v>
      </c>
      <c r="AS50" s="48">
        <f t="shared" si="28"/>
        <v>7.1773209590429987E-2</v>
      </c>
      <c r="AT50" s="54">
        <f t="shared" si="29"/>
        <v>0.27215873249711742</v>
      </c>
      <c r="AU50" s="66">
        <f t="shared" si="30"/>
        <v>5.38</v>
      </c>
      <c r="AV50" s="50">
        <f t="shared" si="31"/>
        <v>0.74614204960366104</v>
      </c>
      <c r="AW50" s="67">
        <f t="shared" si="32"/>
        <v>0.34453047764618472</v>
      </c>
      <c r="AX50" s="57">
        <f t="shared" si="33"/>
        <v>4.3795833333333336</v>
      </c>
      <c r="AY50" s="48">
        <f t="shared" si="34"/>
        <v>0.67526568147372978</v>
      </c>
      <c r="AZ50" s="54">
        <f t="shared" si="35"/>
        <v>0.35724787261793345</v>
      </c>
    </row>
    <row r="51" spans="1:52" x14ac:dyDescent="0.3">
      <c r="A51" s="1">
        <v>2008</v>
      </c>
      <c r="B51">
        <v>1.55</v>
      </c>
      <c r="C51">
        <v>2.39</v>
      </c>
      <c r="D51">
        <v>4.3</v>
      </c>
      <c r="E51">
        <v>8.76</v>
      </c>
      <c r="F51">
        <v>27.16</v>
      </c>
      <c r="G51">
        <v>31.26</v>
      </c>
      <c r="H51">
        <v>56.4</v>
      </c>
      <c r="I51">
        <v>57.69</v>
      </c>
      <c r="J51">
        <v>72.84</v>
      </c>
      <c r="M51" s="1">
        <v>2008</v>
      </c>
      <c r="N51">
        <f t="shared" si="0"/>
        <v>18.600000000000001</v>
      </c>
      <c r="O51">
        <f t="shared" si="1"/>
        <v>14.34</v>
      </c>
      <c r="P51">
        <f t="shared" si="2"/>
        <v>17.2</v>
      </c>
      <c r="Q51">
        <f t="shared" si="3"/>
        <v>17.52</v>
      </c>
      <c r="R51">
        <f t="shared" si="4"/>
        <v>27.16</v>
      </c>
      <c r="S51">
        <f t="shared" si="5"/>
        <v>15.63</v>
      </c>
      <c r="T51">
        <f t="shared" si="6"/>
        <v>9.4</v>
      </c>
      <c r="U51">
        <f t="shared" si="7"/>
        <v>4.8075000000000001</v>
      </c>
      <c r="V51">
        <f t="shared" si="8"/>
        <v>3.0350000000000001</v>
      </c>
      <c r="Y51" s="21">
        <v>2006</v>
      </c>
      <c r="Z51" s="62">
        <f t="shared" si="36"/>
        <v>23.52</v>
      </c>
      <c r="AA51" s="48">
        <f t="shared" si="37"/>
        <v>-0.15073080592780358</v>
      </c>
      <c r="AB51" s="54">
        <f t="shared" si="38"/>
        <v>3.1568119235265299E-2</v>
      </c>
      <c r="AC51" s="66">
        <f t="shared" si="12"/>
        <v>31.56</v>
      </c>
      <c r="AD51" s="50">
        <f t="shared" si="13"/>
        <v>0.80516986464418305</v>
      </c>
      <c r="AE51" s="67">
        <f t="shared" si="14"/>
        <v>3.8731139298503678E-2</v>
      </c>
      <c r="AF51" s="68">
        <f t="shared" si="15"/>
        <v>12.36</v>
      </c>
      <c r="AG51" s="51">
        <f t="shared" si="16"/>
        <v>-1.0916135670969009</v>
      </c>
      <c r="AH51" s="69">
        <f t="shared" si="17"/>
        <v>2.007290830096237E-2</v>
      </c>
      <c r="AI51" s="66">
        <f t="shared" si="18"/>
        <v>13.78</v>
      </c>
      <c r="AJ51" s="50">
        <f t="shared" si="19"/>
        <v>-0.88668904128954873</v>
      </c>
      <c r="AK51" s="67">
        <f t="shared" si="20"/>
        <v>3.7846596980289013E-2</v>
      </c>
      <c r="AL51" s="62">
        <f t="shared" si="21"/>
        <v>17.940000000000001</v>
      </c>
      <c r="AM51" s="48">
        <f t="shared" si="22"/>
        <v>-6.8210723700766751E-3</v>
      </c>
      <c r="AN51" s="54">
        <f t="shared" si="23"/>
        <v>9.7519503860060197E-2</v>
      </c>
      <c r="AO51" s="70">
        <f t="shared" si="24"/>
        <v>19.864999999999998</v>
      </c>
      <c r="AP51" s="50">
        <f t="shared" si="25"/>
        <v>1.0650964526988687</v>
      </c>
      <c r="AQ51" s="67">
        <f t="shared" si="26"/>
        <v>8.9855490349443706E-2</v>
      </c>
      <c r="AR51" s="62">
        <f t="shared" si="27"/>
        <v>5.0249999999999995</v>
      </c>
      <c r="AS51" s="48">
        <f t="shared" si="28"/>
        <v>-1.1166292177819861</v>
      </c>
      <c r="AT51" s="54">
        <f t="shared" si="29"/>
        <v>0.10680334162284007</v>
      </c>
      <c r="AU51" s="66">
        <f t="shared" si="30"/>
        <v>3.1791666666666667</v>
      </c>
      <c r="AV51" s="50">
        <f t="shared" si="31"/>
        <v>-1.2571393665297823</v>
      </c>
      <c r="AW51" s="67">
        <f t="shared" si="32"/>
        <v>0.12203470257421119</v>
      </c>
      <c r="AX51" s="57">
        <f t="shared" si="33"/>
        <v>3.9112500000000003</v>
      </c>
      <c r="AY51" s="48">
        <f t="shared" si="34"/>
        <v>0.24888591293461945</v>
      </c>
      <c r="AZ51" s="54">
        <f t="shared" si="35"/>
        <v>0.41744878960793524</v>
      </c>
    </row>
    <row r="52" spans="1:52" x14ac:dyDescent="0.3">
      <c r="A52" s="1">
        <v>2009</v>
      </c>
      <c r="B52">
        <v>3.14</v>
      </c>
      <c r="C52">
        <v>2.93</v>
      </c>
      <c r="D52">
        <v>10.17</v>
      </c>
      <c r="E52">
        <v>13.18</v>
      </c>
      <c r="F52">
        <v>22.13</v>
      </c>
      <c r="G52">
        <v>35.99</v>
      </c>
      <c r="H52">
        <v>39.49</v>
      </c>
      <c r="I52">
        <v>66.37</v>
      </c>
      <c r="J52">
        <v>101.5</v>
      </c>
      <c r="M52" s="1">
        <v>2009</v>
      </c>
      <c r="N52">
        <f t="shared" si="0"/>
        <v>37.68</v>
      </c>
      <c r="O52">
        <f t="shared" si="1"/>
        <v>17.580000000000002</v>
      </c>
      <c r="P52">
        <f t="shared" si="2"/>
        <v>40.68</v>
      </c>
      <c r="Q52">
        <f t="shared" si="3"/>
        <v>26.36</v>
      </c>
      <c r="R52">
        <f t="shared" si="4"/>
        <v>22.13</v>
      </c>
      <c r="S52">
        <f t="shared" si="5"/>
        <v>17.995000000000001</v>
      </c>
      <c r="T52">
        <f t="shared" si="6"/>
        <v>6.581666666666667</v>
      </c>
      <c r="U52">
        <f t="shared" si="7"/>
        <v>5.5308333333333337</v>
      </c>
      <c r="V52">
        <f t="shared" si="8"/>
        <v>4.229166666666667</v>
      </c>
      <c r="Y52" s="21">
        <v>2007</v>
      </c>
      <c r="Z52" s="62">
        <f t="shared" si="36"/>
        <v>2.88</v>
      </c>
      <c r="AA52" s="48">
        <f t="shared" si="37"/>
        <v>-1.5483425913500171</v>
      </c>
      <c r="AB52" s="54">
        <f t="shared" si="38"/>
        <v>3.7016376187858076E-3</v>
      </c>
      <c r="AC52" s="66">
        <f t="shared" si="12"/>
        <v>13.14</v>
      </c>
      <c r="AD52" s="50">
        <f t="shared" si="13"/>
        <v>-1.140674914514286</v>
      </c>
      <c r="AE52" s="67">
        <f t="shared" si="14"/>
        <v>1.8552810711836697E-2</v>
      </c>
      <c r="AF52" s="68">
        <f t="shared" si="15"/>
        <v>17.079999999999998</v>
      </c>
      <c r="AG52" s="51">
        <f t="shared" si="16"/>
        <v>-0.60384934778190846</v>
      </c>
      <c r="AH52" s="69">
        <f t="shared" si="17"/>
        <v>3.8921145611056564E-2</v>
      </c>
      <c r="AI52" s="66">
        <f t="shared" si="18"/>
        <v>17.5</v>
      </c>
      <c r="AJ52" s="50">
        <f t="shared" si="19"/>
        <v>-0.37442265930521529</v>
      </c>
      <c r="AK52" s="67">
        <f t="shared" si="20"/>
        <v>5.9991532354065423E-2</v>
      </c>
      <c r="AL52" s="62">
        <f t="shared" si="21"/>
        <v>29.27</v>
      </c>
      <c r="AM52" s="48">
        <f t="shared" si="22"/>
        <v>2.3350804413566637</v>
      </c>
      <c r="AN52" s="54">
        <f t="shared" si="23"/>
        <v>2.3293924545665524E-2</v>
      </c>
      <c r="AO52" s="70">
        <f t="shared" si="24"/>
        <v>10.625</v>
      </c>
      <c r="AP52" s="50">
        <f t="shared" si="25"/>
        <v>-1.5859887982776419</v>
      </c>
      <c r="AQ52" s="67">
        <f t="shared" si="26"/>
        <v>1.3597203886154742E-2</v>
      </c>
      <c r="AR52" s="62">
        <f t="shared" si="27"/>
        <v>4.996666666666667</v>
      </c>
      <c r="AS52" s="48">
        <f t="shared" si="28"/>
        <v>-1.133014328297258</v>
      </c>
      <c r="AT52" s="54">
        <f t="shared" si="29"/>
        <v>0.10322520538588585</v>
      </c>
      <c r="AU52" s="66">
        <f t="shared" si="30"/>
        <v>3.1941666666666664</v>
      </c>
      <c r="AV52" s="50">
        <f t="shared" si="31"/>
        <v>-1.2434858014065711</v>
      </c>
      <c r="AW52" s="67">
        <f t="shared" si="32"/>
        <v>0.12625741263321319</v>
      </c>
      <c r="AX52" s="57">
        <f t="shared" si="33"/>
        <v>2.8087499999999999</v>
      </c>
      <c r="AY52" s="48">
        <f t="shared" si="34"/>
        <v>-0.75485151371527959</v>
      </c>
      <c r="AZ52" s="54">
        <f t="shared" si="35"/>
        <v>0.29597429122038382</v>
      </c>
    </row>
    <row r="53" spans="1:52" x14ac:dyDescent="0.3">
      <c r="A53" s="1">
        <v>2010</v>
      </c>
      <c r="B53">
        <v>4.97</v>
      </c>
      <c r="C53">
        <v>3.51</v>
      </c>
      <c r="D53">
        <v>8.52</v>
      </c>
      <c r="E53">
        <v>9.99</v>
      </c>
      <c r="F53">
        <v>19.059999999999999</v>
      </c>
      <c r="G53">
        <v>29.41</v>
      </c>
      <c r="H53">
        <v>25.29</v>
      </c>
      <c r="I53">
        <v>49.94</v>
      </c>
      <c r="J53">
        <v>65.239999999999995</v>
      </c>
      <c r="M53" s="1">
        <v>2010</v>
      </c>
      <c r="N53">
        <f t="shared" si="0"/>
        <v>59.64</v>
      </c>
      <c r="O53">
        <f t="shared" si="1"/>
        <v>21.06</v>
      </c>
      <c r="P53">
        <f t="shared" si="2"/>
        <v>34.08</v>
      </c>
      <c r="Q53">
        <f t="shared" si="3"/>
        <v>19.98</v>
      </c>
      <c r="R53">
        <f t="shared" si="4"/>
        <v>19.059999999999999</v>
      </c>
      <c r="S53">
        <f t="shared" si="5"/>
        <v>14.705</v>
      </c>
      <c r="T53">
        <f t="shared" si="6"/>
        <v>4.2149999999999999</v>
      </c>
      <c r="U53">
        <f t="shared" si="7"/>
        <v>4.1616666666666662</v>
      </c>
      <c r="V53">
        <f t="shared" si="8"/>
        <v>2.7183333333333333</v>
      </c>
      <c r="Y53" s="21">
        <v>2008</v>
      </c>
      <c r="Z53" s="62">
        <f t="shared" si="36"/>
        <v>18.600000000000001</v>
      </c>
      <c r="AA53" s="48">
        <f t="shared" si="37"/>
        <v>-0.48388245245286599</v>
      </c>
      <c r="AB53" s="54">
        <f t="shared" si="38"/>
        <v>2.7816296984676431E-2</v>
      </c>
      <c r="AC53" s="66">
        <f t="shared" si="12"/>
        <v>14.34</v>
      </c>
      <c r="AD53" s="50">
        <f t="shared" si="13"/>
        <v>-1.0139097823215519</v>
      </c>
      <c r="AE53" s="67">
        <f t="shared" si="14"/>
        <v>2.3721428961081828E-2</v>
      </c>
      <c r="AF53" s="68">
        <f t="shared" si="15"/>
        <v>17.2</v>
      </c>
      <c r="AG53" s="51">
        <f t="shared" si="16"/>
        <v>-0.5914485625450866</v>
      </c>
      <c r="AH53" s="69">
        <f t="shared" si="17"/>
        <v>3.9317892450936386E-2</v>
      </c>
      <c r="AI53" s="66">
        <f t="shared" si="18"/>
        <v>17.52</v>
      </c>
      <c r="AJ53" s="50">
        <f t="shared" si="19"/>
        <v>-0.37166853897196628</v>
      </c>
      <c r="AK53" s="67">
        <f t="shared" si="20"/>
        <v>6.0066285041875701E-2</v>
      </c>
      <c r="AL53" s="62">
        <f t="shared" si="21"/>
        <v>27.16</v>
      </c>
      <c r="AM53" s="48">
        <f t="shared" si="22"/>
        <v>1.8989452079971383</v>
      </c>
      <c r="AN53" s="54">
        <f t="shared" si="23"/>
        <v>3.4171912675669838E-2</v>
      </c>
      <c r="AO53" s="70">
        <f t="shared" si="24"/>
        <v>15.63</v>
      </c>
      <c r="AP53" s="50">
        <f t="shared" si="25"/>
        <v>-0.14998428733203159</v>
      </c>
      <c r="AQ53" s="67">
        <f t="shared" si="26"/>
        <v>0.13377537350092547</v>
      </c>
      <c r="AR53" s="62">
        <f t="shared" si="27"/>
        <v>9.4</v>
      </c>
      <c r="AS53" s="48">
        <f t="shared" si="28"/>
        <v>1.4134246117821609</v>
      </c>
      <c r="AT53" s="54">
        <f t="shared" si="29"/>
        <v>0.14148127939923646</v>
      </c>
      <c r="AU53" s="66">
        <f t="shared" si="30"/>
        <v>4.8075000000000001</v>
      </c>
      <c r="AV53" s="50">
        <f t="shared" si="31"/>
        <v>0.22503098073441635</v>
      </c>
      <c r="AW53" s="67">
        <f t="shared" si="32"/>
        <v>0.41947107961571745</v>
      </c>
      <c r="AX53" s="57">
        <f t="shared" si="33"/>
        <v>3.0350000000000001</v>
      </c>
      <c r="AY53" s="48">
        <f t="shared" si="34"/>
        <v>-0.54886911663633187</v>
      </c>
      <c r="AZ53" s="54">
        <f t="shared" si="35"/>
        <v>0.35791366796865526</v>
      </c>
    </row>
    <row r="54" spans="1:52" x14ac:dyDescent="0.3">
      <c r="A54" s="1">
        <v>2011</v>
      </c>
      <c r="B54">
        <v>1.93</v>
      </c>
      <c r="C54">
        <v>2.66</v>
      </c>
      <c r="D54">
        <v>4.43</v>
      </c>
      <c r="E54">
        <v>10.64</v>
      </c>
      <c r="F54">
        <v>16.760000000000002</v>
      </c>
      <c r="G54">
        <v>35.04</v>
      </c>
      <c r="H54">
        <v>30.79</v>
      </c>
      <c r="I54">
        <v>43.3</v>
      </c>
      <c r="J54">
        <v>61.74</v>
      </c>
      <c r="M54" s="1">
        <v>2011</v>
      </c>
      <c r="N54">
        <f t="shared" si="0"/>
        <v>23.16</v>
      </c>
      <c r="O54">
        <f t="shared" si="1"/>
        <v>15.96</v>
      </c>
      <c r="P54">
        <f t="shared" si="2"/>
        <v>17.72</v>
      </c>
      <c r="Q54">
        <f t="shared" si="3"/>
        <v>21.28</v>
      </c>
      <c r="R54">
        <f t="shared" si="4"/>
        <v>16.760000000000002</v>
      </c>
      <c r="S54">
        <f t="shared" si="5"/>
        <v>17.52</v>
      </c>
      <c r="T54">
        <f t="shared" si="6"/>
        <v>5.1316666666666668</v>
      </c>
      <c r="U54">
        <f t="shared" si="7"/>
        <v>3.6083333333333329</v>
      </c>
      <c r="V54">
        <f t="shared" si="8"/>
        <v>2.5725000000000002</v>
      </c>
      <c r="Y54" s="21">
        <v>2009</v>
      </c>
      <c r="Z54" s="62">
        <f t="shared" si="36"/>
        <v>37.68</v>
      </c>
      <c r="AA54" s="48">
        <f t="shared" si="37"/>
        <v>0.80809588407115684</v>
      </c>
      <c r="AB54" s="54">
        <f t="shared" si="38"/>
        <v>2.4786489593225467E-2</v>
      </c>
      <c r="AC54" s="66">
        <f t="shared" si="12"/>
        <v>17.580000000000002</v>
      </c>
      <c r="AD54" s="50">
        <f t="shared" si="13"/>
        <v>-0.67164392540116946</v>
      </c>
      <c r="AE54" s="67">
        <f t="shared" si="14"/>
        <v>3.7450389297735982E-2</v>
      </c>
      <c r="AF54" s="68">
        <f t="shared" si="15"/>
        <v>40.68</v>
      </c>
      <c r="AG54" s="51">
        <f t="shared" si="16"/>
        <v>1.8349717487930541</v>
      </c>
      <c r="AH54" s="69">
        <f t="shared" si="17"/>
        <v>1.8033747623913951E-2</v>
      </c>
      <c r="AI54" s="66">
        <f t="shared" si="18"/>
        <v>26.36</v>
      </c>
      <c r="AJ54" s="50">
        <f t="shared" si="19"/>
        <v>0.84565264832413756</v>
      </c>
      <c r="AK54" s="67">
        <f t="shared" si="20"/>
        <v>4.9353202072211388E-2</v>
      </c>
      <c r="AL54" s="62">
        <f t="shared" si="21"/>
        <v>22.13</v>
      </c>
      <c r="AM54" s="48">
        <f t="shared" si="22"/>
        <v>0.85924841946708463</v>
      </c>
      <c r="AN54" s="54">
        <f t="shared" si="23"/>
        <v>7.3504531131982409E-2</v>
      </c>
      <c r="AO54" s="70">
        <f t="shared" si="24"/>
        <v>17.995000000000001</v>
      </c>
      <c r="AP54" s="50">
        <f t="shared" si="25"/>
        <v>0.5285672947631469</v>
      </c>
      <c r="AQ54" s="67">
        <f t="shared" si="26"/>
        <v>0.12029867514271157</v>
      </c>
      <c r="AR54" s="62">
        <f t="shared" si="27"/>
        <v>6.581666666666667</v>
      </c>
      <c r="AS54" s="48">
        <f t="shared" si="28"/>
        <v>-0.21641196947230451</v>
      </c>
      <c r="AT54" s="54">
        <f t="shared" si="29"/>
        <v>0.26605387479622161</v>
      </c>
      <c r="AU54" s="66">
        <f t="shared" si="30"/>
        <v>5.5308333333333337</v>
      </c>
      <c r="AV54" s="50">
        <f t="shared" si="31"/>
        <v>0.88343623223151202</v>
      </c>
      <c r="AW54" s="67">
        <f t="shared" si="32"/>
        <v>0.31916900066378434</v>
      </c>
      <c r="AX54" s="57">
        <f t="shared" si="33"/>
        <v>4.229166666666667</v>
      </c>
      <c r="AY54" s="48">
        <f t="shared" si="34"/>
        <v>0.53832342485218276</v>
      </c>
      <c r="AZ54" s="54">
        <f t="shared" si="35"/>
        <v>0.38018850312722613</v>
      </c>
    </row>
    <row r="55" spans="1:52" x14ac:dyDescent="0.3">
      <c r="A55" s="1">
        <v>2012</v>
      </c>
      <c r="B55">
        <v>1.97</v>
      </c>
      <c r="C55">
        <v>2.59</v>
      </c>
      <c r="D55">
        <v>6.32</v>
      </c>
      <c r="E55">
        <v>9.77</v>
      </c>
      <c r="F55">
        <v>18.059999999999999</v>
      </c>
      <c r="G55">
        <v>32.24</v>
      </c>
      <c r="H55">
        <v>41.69</v>
      </c>
      <c r="I55">
        <v>69.989999999999995</v>
      </c>
      <c r="J55">
        <v>97.71</v>
      </c>
      <c r="M55" s="1">
        <v>2012</v>
      </c>
      <c r="N55">
        <f t="shared" si="0"/>
        <v>23.64</v>
      </c>
      <c r="O55">
        <f t="shared" si="1"/>
        <v>15.54</v>
      </c>
      <c r="P55">
        <f t="shared" si="2"/>
        <v>25.28</v>
      </c>
      <c r="Q55">
        <f t="shared" si="3"/>
        <v>19.54</v>
      </c>
      <c r="R55">
        <f t="shared" si="4"/>
        <v>18.059999999999999</v>
      </c>
      <c r="S55">
        <f t="shared" si="5"/>
        <v>16.12</v>
      </c>
      <c r="T55">
        <f t="shared" si="6"/>
        <v>6.9483333333333333</v>
      </c>
      <c r="U55">
        <f t="shared" si="7"/>
        <v>5.8324999999999996</v>
      </c>
      <c r="V55">
        <f t="shared" si="8"/>
        <v>4.07125</v>
      </c>
      <c r="Y55" s="21">
        <v>2010</v>
      </c>
      <c r="Z55" s="62">
        <f t="shared" si="36"/>
        <v>59.64</v>
      </c>
      <c r="AA55" s="48">
        <f t="shared" si="37"/>
        <v>2.2950898185610704</v>
      </c>
      <c r="AB55" s="54">
        <f t="shared" si="38"/>
        <v>7.9110331536199601E-3</v>
      </c>
      <c r="AC55" s="66">
        <f t="shared" si="12"/>
        <v>21.06</v>
      </c>
      <c r="AD55" s="50">
        <f t="shared" si="13"/>
        <v>-0.30402504204224073</v>
      </c>
      <c r="AE55" s="67">
        <f t="shared" si="14"/>
        <v>4.7349099882248682E-2</v>
      </c>
      <c r="AF55" s="68">
        <f t="shared" si="15"/>
        <v>34.08</v>
      </c>
      <c r="AG55" s="51">
        <f t="shared" si="16"/>
        <v>1.1529285607678528</v>
      </c>
      <c r="AH55" s="69">
        <f t="shared" si="17"/>
        <v>3.0514294129327182E-2</v>
      </c>
      <c r="AI55" s="66">
        <f t="shared" si="18"/>
        <v>19.98</v>
      </c>
      <c r="AJ55" s="50">
        <f t="shared" si="19"/>
        <v>-3.2911737982326404E-2</v>
      </c>
      <c r="AK55" s="67">
        <f t="shared" si="20"/>
        <v>6.4934873067935939E-2</v>
      </c>
      <c r="AL55" s="62">
        <f t="shared" si="21"/>
        <v>19.059999999999999</v>
      </c>
      <c r="AM55" s="48">
        <f t="shared" si="22"/>
        <v>0.22468198988711163</v>
      </c>
      <c r="AN55" s="54">
        <f t="shared" si="23"/>
        <v>9.5261289205543193E-2</v>
      </c>
      <c r="AO55" s="70">
        <f t="shared" si="24"/>
        <v>14.705</v>
      </c>
      <c r="AP55" s="50">
        <f t="shared" si="25"/>
        <v>-0.41537972641788384</v>
      </c>
      <c r="AQ55" s="67">
        <f t="shared" si="26"/>
        <v>0.12253878672318712</v>
      </c>
      <c r="AR55" s="62">
        <f t="shared" si="27"/>
        <v>4.2149999999999999</v>
      </c>
      <c r="AS55" s="48">
        <f t="shared" si="28"/>
        <v>-1.5850506125127193</v>
      </c>
      <c r="AT55" s="54">
        <f t="shared" si="29"/>
        <v>2.7506240626757376E-2</v>
      </c>
      <c r="AU55" s="66">
        <f t="shared" si="30"/>
        <v>4.1616666666666662</v>
      </c>
      <c r="AV55" s="50">
        <f t="shared" si="31"/>
        <v>-0.36283085095941936</v>
      </c>
      <c r="AW55" s="67">
        <f t="shared" si="32"/>
        <v>0.39859871761022514</v>
      </c>
      <c r="AX55" s="57">
        <f t="shared" si="33"/>
        <v>2.7183333333333333</v>
      </c>
      <c r="AY55" s="48">
        <f t="shared" si="34"/>
        <v>-0.83716860426064155</v>
      </c>
      <c r="AZ55" s="54">
        <f t="shared" si="35"/>
        <v>0.26775372231319666</v>
      </c>
    </row>
    <row r="56" spans="1:52" x14ac:dyDescent="0.3">
      <c r="A56" s="1">
        <v>2013</v>
      </c>
      <c r="B56">
        <v>4.92</v>
      </c>
      <c r="C56">
        <v>3.93</v>
      </c>
      <c r="D56">
        <v>4.8</v>
      </c>
      <c r="E56">
        <v>6.11</v>
      </c>
      <c r="F56">
        <v>14.23</v>
      </c>
      <c r="G56">
        <v>21.1</v>
      </c>
      <c r="H56">
        <v>45.25</v>
      </c>
      <c r="I56">
        <v>39.97</v>
      </c>
      <c r="J56">
        <v>55.54</v>
      </c>
      <c r="M56" s="1">
        <v>2013</v>
      </c>
      <c r="N56">
        <f t="shared" si="0"/>
        <v>59.04</v>
      </c>
      <c r="O56">
        <f t="shared" si="1"/>
        <v>23.580000000000002</v>
      </c>
      <c r="P56">
        <f t="shared" si="2"/>
        <v>19.2</v>
      </c>
      <c r="Q56">
        <f t="shared" si="3"/>
        <v>12.22</v>
      </c>
      <c r="R56">
        <f t="shared" si="4"/>
        <v>14.23</v>
      </c>
      <c r="S56">
        <f t="shared" si="5"/>
        <v>10.55</v>
      </c>
      <c r="T56">
        <f t="shared" si="6"/>
        <v>7.541666666666667</v>
      </c>
      <c r="U56">
        <f t="shared" si="7"/>
        <v>3.3308333333333331</v>
      </c>
      <c r="V56">
        <f t="shared" si="8"/>
        <v>2.3141666666666665</v>
      </c>
      <c r="Y56" s="21">
        <v>2011</v>
      </c>
      <c r="Z56" s="62">
        <f t="shared" si="36"/>
        <v>23.16</v>
      </c>
      <c r="AA56" s="48">
        <f t="shared" si="37"/>
        <v>-0.17510775567353981</v>
      </c>
      <c r="AB56" s="54">
        <f t="shared" si="38"/>
        <v>3.1432227417589963E-2</v>
      </c>
      <c r="AC56" s="66">
        <f t="shared" si="12"/>
        <v>15.96</v>
      </c>
      <c r="AD56" s="50">
        <f t="shared" si="13"/>
        <v>-0.8427768538613607</v>
      </c>
      <c r="AE56" s="67">
        <f t="shared" si="14"/>
        <v>3.0839443022977687E-2</v>
      </c>
      <c r="AF56" s="68">
        <f t="shared" si="15"/>
        <v>17.72</v>
      </c>
      <c r="AG56" s="51">
        <f t="shared" si="16"/>
        <v>-0.53771182651885863</v>
      </c>
      <c r="AH56" s="69">
        <f t="shared" si="17"/>
        <v>4.0954497252788789E-2</v>
      </c>
      <c r="AI56" s="66">
        <f t="shared" si="18"/>
        <v>21.28</v>
      </c>
      <c r="AJ56" s="50">
        <f t="shared" si="19"/>
        <v>0.14610608367886543</v>
      </c>
      <c r="AK56" s="67">
        <f t="shared" si="20"/>
        <v>6.4312902889570381E-2</v>
      </c>
      <c r="AL56" s="62">
        <f t="shared" si="21"/>
        <v>16.760000000000002</v>
      </c>
      <c r="AM56" s="48">
        <f t="shared" si="22"/>
        <v>-0.25072608439104344</v>
      </c>
      <c r="AN56" s="54">
        <f t="shared" si="23"/>
        <v>9.4239906940362092E-2</v>
      </c>
      <c r="AO56" s="70">
        <f t="shared" si="24"/>
        <v>17.52</v>
      </c>
      <c r="AP56" s="50">
        <f t="shared" si="25"/>
        <v>0.392283150367709</v>
      </c>
      <c r="AQ56" s="67">
        <f t="shared" si="26"/>
        <v>0.1264943711932365</v>
      </c>
      <c r="AR56" s="62">
        <f t="shared" si="27"/>
        <v>5.1316666666666668</v>
      </c>
      <c r="AS56" s="48">
        <f t="shared" si="28"/>
        <v>-1.0549440958421359</v>
      </c>
      <c r="AT56" s="54">
        <f t="shared" si="29"/>
        <v>0.12054584404218568</v>
      </c>
      <c r="AU56" s="66">
        <f t="shared" si="30"/>
        <v>3.6083333333333329</v>
      </c>
      <c r="AV56" s="50">
        <f t="shared" si="31"/>
        <v>-0.86649569772678259</v>
      </c>
      <c r="AW56" s="67">
        <f t="shared" si="32"/>
        <v>0.2573537782357343</v>
      </c>
      <c r="AX56" s="57">
        <f t="shared" si="33"/>
        <v>2.5725000000000002</v>
      </c>
      <c r="AY56" s="48">
        <f t="shared" si="34"/>
        <v>-0.96993810514025747</v>
      </c>
      <c r="AZ56" s="54">
        <f t="shared" si="35"/>
        <v>0.22027430805410098</v>
      </c>
    </row>
    <row r="57" spans="1:52" x14ac:dyDescent="0.3">
      <c r="A57" s="1">
        <v>2014</v>
      </c>
      <c r="B57">
        <v>0.67</v>
      </c>
      <c r="C57">
        <v>3.24</v>
      </c>
      <c r="D57">
        <v>3.95</v>
      </c>
      <c r="E57">
        <v>9.2799999999999994</v>
      </c>
      <c r="F57">
        <v>17.260000000000002</v>
      </c>
      <c r="G57">
        <v>40.369999999999997</v>
      </c>
      <c r="H57">
        <v>62.05</v>
      </c>
      <c r="I57">
        <v>48.46</v>
      </c>
      <c r="J57">
        <v>41.19</v>
      </c>
      <c r="M57" s="1">
        <v>2014</v>
      </c>
      <c r="N57">
        <f t="shared" si="0"/>
        <v>8.0400000000000009</v>
      </c>
      <c r="O57">
        <f t="shared" si="1"/>
        <v>19.440000000000001</v>
      </c>
      <c r="P57">
        <f t="shared" si="2"/>
        <v>15.8</v>
      </c>
      <c r="Q57">
        <f t="shared" si="3"/>
        <v>18.559999999999999</v>
      </c>
      <c r="R57">
        <f t="shared" si="4"/>
        <v>17.260000000000002</v>
      </c>
      <c r="S57">
        <f t="shared" si="5"/>
        <v>20.184999999999999</v>
      </c>
      <c r="T57">
        <f t="shared" si="6"/>
        <v>10.341666666666667</v>
      </c>
      <c r="U57">
        <f t="shared" si="7"/>
        <v>4.0383333333333331</v>
      </c>
      <c r="V57">
        <f t="shared" si="8"/>
        <v>1.7162499999999998</v>
      </c>
      <c r="Y57" s="21">
        <v>2012</v>
      </c>
      <c r="Z57" s="62">
        <f t="shared" si="36"/>
        <v>23.64</v>
      </c>
      <c r="AA57" s="48">
        <f t="shared" si="37"/>
        <v>-0.14260515601255808</v>
      </c>
      <c r="AB57" s="54">
        <f t="shared" si="38"/>
        <v>3.1608667044529033E-2</v>
      </c>
      <c r="AC57" s="66">
        <f t="shared" si="12"/>
        <v>15.54</v>
      </c>
      <c r="AD57" s="50">
        <f t="shared" si="13"/>
        <v>-0.88714465012881782</v>
      </c>
      <c r="AE57" s="67">
        <f t="shared" si="14"/>
        <v>2.901416013497659E-2</v>
      </c>
      <c r="AF57" s="68">
        <f t="shared" si="15"/>
        <v>25.28</v>
      </c>
      <c r="AG57" s="51">
        <f t="shared" si="16"/>
        <v>0.24353764340091777</v>
      </c>
      <c r="AH57" s="69">
        <f t="shared" si="17"/>
        <v>4.7439111154952376E-2</v>
      </c>
      <c r="AI57" s="66">
        <f t="shared" si="18"/>
        <v>19.54</v>
      </c>
      <c r="AJ57" s="50">
        <f t="shared" si="19"/>
        <v>-9.3502385313806863E-2</v>
      </c>
      <c r="AK57" s="67">
        <f t="shared" si="20"/>
        <v>6.4678028906627272E-2</v>
      </c>
      <c r="AL57" s="62">
        <f t="shared" si="21"/>
        <v>18.059999999999999</v>
      </c>
      <c r="AM57" s="48">
        <f t="shared" si="22"/>
        <v>1.7982827157478742E-2</v>
      </c>
      <c r="AN57" s="54">
        <f t="shared" si="23"/>
        <v>9.7506104658915072E-2</v>
      </c>
      <c r="AO57" s="70">
        <f t="shared" si="24"/>
        <v>16.12</v>
      </c>
      <c r="AP57" s="50">
        <f t="shared" si="25"/>
        <v>-9.3964331135801826E-3</v>
      </c>
      <c r="AQ57" s="67">
        <f t="shared" si="26"/>
        <v>0.13536156954779124</v>
      </c>
      <c r="AR57" s="62">
        <f t="shared" si="27"/>
        <v>6.9483333333333333</v>
      </c>
      <c r="AS57" s="48">
        <f t="shared" si="28"/>
        <v>-4.3693628040715185E-3</v>
      </c>
      <c r="AT57" s="54">
        <f t="shared" si="29"/>
        <v>0.27284150986957967</v>
      </c>
      <c r="AU57" s="66">
        <f t="shared" si="30"/>
        <v>5.8324999999999996</v>
      </c>
      <c r="AV57" s="50">
        <f t="shared" si="31"/>
        <v>1.1580245974872123</v>
      </c>
      <c r="AW57" s="67">
        <f t="shared" si="32"/>
        <v>0.2678390908322999</v>
      </c>
      <c r="AX57" s="57">
        <f t="shared" si="33"/>
        <v>4.07125</v>
      </c>
      <c r="AY57" s="48">
        <f t="shared" si="34"/>
        <v>0.3945530224711124</v>
      </c>
      <c r="AZ57" s="54">
        <f t="shared" si="35"/>
        <v>0.40108864377159409</v>
      </c>
    </row>
    <row r="58" spans="1:52" x14ac:dyDescent="0.3">
      <c r="A58" s="1">
        <v>2015</v>
      </c>
      <c r="B58">
        <v>0.54</v>
      </c>
      <c r="C58">
        <v>3.99</v>
      </c>
      <c r="D58">
        <v>6.96</v>
      </c>
      <c r="E58">
        <v>15.8</v>
      </c>
      <c r="F58">
        <v>28.13</v>
      </c>
      <c r="G58">
        <v>23.64</v>
      </c>
      <c r="H58">
        <v>36.65</v>
      </c>
      <c r="I58">
        <v>48.42</v>
      </c>
      <c r="J58">
        <v>92.02</v>
      </c>
      <c r="M58" s="1">
        <v>2015</v>
      </c>
      <c r="N58">
        <f t="shared" si="0"/>
        <v>6.48</v>
      </c>
      <c r="O58">
        <f t="shared" si="1"/>
        <v>23.94</v>
      </c>
      <c r="P58">
        <f t="shared" si="2"/>
        <v>27.84</v>
      </c>
      <c r="Q58">
        <f t="shared" si="3"/>
        <v>31.6</v>
      </c>
      <c r="R58">
        <f t="shared" si="4"/>
        <v>28.13</v>
      </c>
      <c r="S58">
        <f t="shared" si="5"/>
        <v>11.82</v>
      </c>
      <c r="T58">
        <f t="shared" si="6"/>
        <v>6.1083333333333334</v>
      </c>
      <c r="U58">
        <f t="shared" si="7"/>
        <v>4.0350000000000001</v>
      </c>
      <c r="V58">
        <f t="shared" si="8"/>
        <v>3.8341666666666665</v>
      </c>
      <c r="Y58" s="21">
        <v>2013</v>
      </c>
      <c r="Z58" s="62">
        <f t="shared" si="36"/>
        <v>59.04</v>
      </c>
      <c r="AA58" s="48">
        <f t="shared" si="37"/>
        <v>2.2544615689848424</v>
      </c>
      <c r="AB58" s="54">
        <f t="shared" si="38"/>
        <v>8.2047147106442415E-3</v>
      </c>
      <c r="AC58" s="66">
        <f t="shared" si="12"/>
        <v>23.580000000000002</v>
      </c>
      <c r="AD58" s="50">
        <f t="shared" si="13"/>
        <v>-3.7818264437498708E-2</v>
      </c>
      <c r="AE58" s="67">
        <f t="shared" si="14"/>
        <v>4.9804311249645926E-2</v>
      </c>
      <c r="AF58" s="68">
        <f t="shared" si="15"/>
        <v>19.2</v>
      </c>
      <c r="AG58" s="51">
        <f t="shared" si="16"/>
        <v>-0.38476880859805584</v>
      </c>
      <c r="AH58" s="69">
        <f t="shared" si="17"/>
        <v>4.4805407734660123E-2</v>
      </c>
      <c r="AI58" s="66">
        <f t="shared" si="18"/>
        <v>12.22</v>
      </c>
      <c r="AJ58" s="50">
        <f t="shared" si="19"/>
        <v>-1.1015104272829785</v>
      </c>
      <c r="AK58" s="67">
        <f t="shared" si="20"/>
        <v>2.622559381934763E-2</v>
      </c>
      <c r="AL58" s="62">
        <f t="shared" si="21"/>
        <v>14.23</v>
      </c>
      <c r="AM58" s="48">
        <f t="shared" si="22"/>
        <v>-0.77367496609701492</v>
      </c>
      <c r="AN58" s="54">
        <f t="shared" si="23"/>
        <v>6.5761381354735443E-2</v>
      </c>
      <c r="AO58" s="70">
        <f t="shared" si="24"/>
        <v>10.55</v>
      </c>
      <c r="AP58" s="50">
        <f t="shared" si="25"/>
        <v>-1.6075073473927108</v>
      </c>
      <c r="AQ58" s="67">
        <f t="shared" si="26"/>
        <v>1.2492702041326008E-2</v>
      </c>
      <c r="AR58" s="62">
        <f t="shared" si="27"/>
        <v>7.541666666666667</v>
      </c>
      <c r="AS58" s="48">
        <f t="shared" si="28"/>
        <v>0.33875412798634247</v>
      </c>
      <c r="AT58" s="54">
        <f t="shared" si="29"/>
        <v>0.25917120283913497</v>
      </c>
      <c r="AU58" s="66">
        <f t="shared" si="30"/>
        <v>3.3308333333333331</v>
      </c>
      <c r="AV58" s="50">
        <f t="shared" si="31"/>
        <v>-1.1190866525061982</v>
      </c>
      <c r="AW58" s="67">
        <f t="shared" si="32"/>
        <v>0.16725966629281111</v>
      </c>
      <c r="AX58" s="57">
        <f t="shared" si="33"/>
        <v>2.3141666666666665</v>
      </c>
      <c r="AY58" s="48">
        <f t="shared" si="34"/>
        <v>-1.2051297924127209</v>
      </c>
      <c r="AZ58" s="54">
        <f t="shared" si="35"/>
        <v>0.13847008489469059</v>
      </c>
    </row>
    <row r="59" spans="1:52" x14ac:dyDescent="0.3">
      <c r="A59" s="1">
        <v>2016</v>
      </c>
      <c r="B59">
        <v>2.98</v>
      </c>
      <c r="C59">
        <v>2.41</v>
      </c>
      <c r="D59">
        <v>5.35</v>
      </c>
      <c r="E59">
        <v>7.91</v>
      </c>
      <c r="F59">
        <v>12.81</v>
      </c>
      <c r="G59">
        <v>25.15</v>
      </c>
      <c r="H59">
        <v>60.17</v>
      </c>
      <c r="I59">
        <v>73.08</v>
      </c>
      <c r="J59">
        <v>79.55</v>
      </c>
      <c r="M59" s="1">
        <v>2016</v>
      </c>
      <c r="N59">
        <f t="shared" si="0"/>
        <v>35.76</v>
      </c>
      <c r="O59">
        <f t="shared" si="1"/>
        <v>14.46</v>
      </c>
      <c r="P59">
        <f t="shared" si="2"/>
        <v>21.4</v>
      </c>
      <c r="Q59">
        <f t="shared" si="3"/>
        <v>15.82</v>
      </c>
      <c r="R59">
        <f t="shared" si="4"/>
        <v>12.81</v>
      </c>
      <c r="S59">
        <f t="shared" si="5"/>
        <v>12.574999999999999</v>
      </c>
      <c r="T59">
        <f t="shared" si="6"/>
        <v>10.028333333333334</v>
      </c>
      <c r="U59">
        <f t="shared" si="7"/>
        <v>6.09</v>
      </c>
      <c r="V59">
        <f t="shared" si="8"/>
        <v>3.3145833333333332</v>
      </c>
      <c r="Y59" s="21">
        <v>2014</v>
      </c>
      <c r="Z59" s="62">
        <f t="shared" si="36"/>
        <v>8.0400000000000009</v>
      </c>
      <c r="AA59" s="48">
        <f t="shared" si="37"/>
        <v>-1.1989396449944634</v>
      </c>
      <c r="AB59" s="54">
        <f t="shared" si="38"/>
        <v>1.0448327396745618E-2</v>
      </c>
      <c r="AC59" s="66">
        <f t="shared" si="12"/>
        <v>19.440000000000001</v>
      </c>
      <c r="AD59" s="50">
        <f t="shared" si="13"/>
        <v>-0.47515797050243158</v>
      </c>
      <c r="AE59" s="67">
        <f t="shared" si="14"/>
        <v>4.3628713359616357E-2</v>
      </c>
      <c r="AF59" s="68">
        <f t="shared" si="15"/>
        <v>15.8</v>
      </c>
      <c r="AG59" s="51">
        <f t="shared" si="16"/>
        <v>-0.73612439030800791</v>
      </c>
      <c r="AH59" s="69">
        <f t="shared" si="17"/>
        <v>3.429950126540126E-2</v>
      </c>
      <c r="AI59" s="66">
        <f t="shared" si="18"/>
        <v>18.559999999999999</v>
      </c>
      <c r="AJ59" s="50">
        <f t="shared" si="19"/>
        <v>-0.22845428164301299</v>
      </c>
      <c r="AK59" s="67">
        <f t="shared" si="20"/>
        <v>6.3163752922118066E-2</v>
      </c>
      <c r="AL59" s="62">
        <f t="shared" si="21"/>
        <v>17.260000000000002</v>
      </c>
      <c r="AM59" s="48">
        <f t="shared" si="22"/>
        <v>-0.14737650302622698</v>
      </c>
      <c r="AN59" s="54">
        <f t="shared" si="23"/>
        <v>9.6415024781398823E-2</v>
      </c>
      <c r="AO59" s="70">
        <f t="shared" si="24"/>
        <v>20.184999999999999</v>
      </c>
      <c r="AP59" s="50">
        <f t="shared" si="25"/>
        <v>1.1569089289231635</v>
      </c>
      <c r="AQ59" s="67">
        <f t="shared" si="26"/>
        <v>8.4489575439486847E-2</v>
      </c>
      <c r="AR59" s="62">
        <f t="shared" si="27"/>
        <v>10.341666666666667</v>
      </c>
      <c r="AS59" s="48">
        <f t="shared" si="28"/>
        <v>1.9579885789073961</v>
      </c>
      <c r="AT59" s="54">
        <f t="shared" si="29"/>
        <v>9.0900911232574502E-2</v>
      </c>
      <c r="AU59" s="66">
        <f t="shared" si="30"/>
        <v>4.0383333333333331</v>
      </c>
      <c r="AV59" s="50">
        <f t="shared" si="31"/>
        <v>-0.4750934975280483</v>
      </c>
      <c r="AW59" s="67">
        <f t="shared" si="32"/>
        <v>0.37594617905027683</v>
      </c>
      <c r="AX59" s="57">
        <f t="shared" si="33"/>
        <v>1.7162499999999998</v>
      </c>
      <c r="AY59" s="48">
        <f t="shared" si="34"/>
        <v>-1.7494847460191474</v>
      </c>
      <c r="AZ59" s="54">
        <f t="shared" si="35"/>
        <v>2.1339570021537892E-2</v>
      </c>
    </row>
    <row r="60" spans="1:52" x14ac:dyDescent="0.3">
      <c r="A60" s="1">
        <v>2017</v>
      </c>
      <c r="B60">
        <v>1.04</v>
      </c>
      <c r="C60">
        <v>5.24</v>
      </c>
      <c r="D60">
        <v>2.88</v>
      </c>
      <c r="E60">
        <v>11.2</v>
      </c>
      <c r="F60">
        <v>18.21</v>
      </c>
      <c r="G60">
        <v>38.54</v>
      </c>
      <c r="H60">
        <v>41.25</v>
      </c>
      <c r="I60">
        <v>76.8</v>
      </c>
      <c r="J60">
        <v>82.04</v>
      </c>
      <c r="M60" s="1">
        <v>2017</v>
      </c>
      <c r="N60">
        <f t="shared" si="0"/>
        <v>12.48</v>
      </c>
      <c r="O60">
        <f t="shared" si="1"/>
        <v>31.44</v>
      </c>
      <c r="P60">
        <f t="shared" si="2"/>
        <v>11.52</v>
      </c>
      <c r="Q60">
        <f t="shared" si="3"/>
        <v>22.4</v>
      </c>
      <c r="R60">
        <f t="shared" si="4"/>
        <v>18.21</v>
      </c>
      <c r="S60">
        <f t="shared" si="5"/>
        <v>19.27</v>
      </c>
      <c r="T60">
        <f t="shared" si="6"/>
        <v>6.875</v>
      </c>
      <c r="U60">
        <f t="shared" si="7"/>
        <v>6.3999999999999995</v>
      </c>
      <c r="V60">
        <f t="shared" si="8"/>
        <v>3.4183333333333334</v>
      </c>
      <c r="Y60" s="21">
        <v>2015</v>
      </c>
      <c r="Z60" s="62">
        <f t="shared" si="36"/>
        <v>6.48</v>
      </c>
      <c r="AA60" s="48">
        <f t="shared" si="37"/>
        <v>-1.3045730938926541</v>
      </c>
      <c r="AB60" s="54">
        <f t="shared" si="38"/>
        <v>8.0249746492682267E-3</v>
      </c>
      <c r="AC60" s="66">
        <f t="shared" si="12"/>
        <v>23.94</v>
      </c>
      <c r="AD60" s="50">
        <f t="shared" si="13"/>
        <v>2.1127522032148179E-4</v>
      </c>
      <c r="AE60" s="67">
        <f t="shared" si="14"/>
        <v>4.9840392040684363E-2</v>
      </c>
      <c r="AF60" s="68">
        <f t="shared" si="15"/>
        <v>27.84</v>
      </c>
      <c r="AG60" s="51">
        <f t="shared" si="16"/>
        <v>0.508087728453117</v>
      </c>
      <c r="AH60" s="69">
        <f t="shared" si="17"/>
        <v>4.3689242899923306E-2</v>
      </c>
      <c r="AI60" s="66">
        <f t="shared" si="18"/>
        <v>31.6</v>
      </c>
      <c r="AJ60" s="50">
        <f t="shared" si="19"/>
        <v>1.5672321756354028</v>
      </c>
      <c r="AK60" s="67">
        <f t="shared" si="20"/>
        <v>2.9906576578792057E-2</v>
      </c>
      <c r="AL60" s="62">
        <f t="shared" si="21"/>
        <v>28.13</v>
      </c>
      <c r="AM60" s="48">
        <f t="shared" si="22"/>
        <v>2.0994433958448822</v>
      </c>
      <c r="AN60" s="54">
        <f t="shared" si="23"/>
        <v>2.8734764928562324E-2</v>
      </c>
      <c r="AO60" s="70">
        <f t="shared" si="24"/>
        <v>11.82</v>
      </c>
      <c r="AP60" s="50">
        <f t="shared" si="25"/>
        <v>-1.2431265823775413</v>
      </c>
      <c r="AQ60" s="67">
        <f t="shared" si="26"/>
        <v>3.9832602125655162E-2</v>
      </c>
      <c r="AR60" s="62">
        <f t="shared" si="27"/>
        <v>6.1083333333333334</v>
      </c>
      <c r="AS60" s="48">
        <f t="shared" si="28"/>
        <v>-0.49013969808038754</v>
      </c>
      <c r="AT60" s="54">
        <f t="shared" si="29"/>
        <v>0.23662960417111384</v>
      </c>
      <c r="AU60" s="66">
        <f t="shared" si="30"/>
        <v>4.0350000000000001</v>
      </c>
      <c r="AV60" s="50">
        <f t="shared" si="31"/>
        <v>-0.47812762311098389</v>
      </c>
      <c r="AW60" s="67">
        <f t="shared" si="32"/>
        <v>0.37525032435867839</v>
      </c>
      <c r="AX60" s="57">
        <f t="shared" si="33"/>
        <v>3.8341666666666665</v>
      </c>
      <c r="AY60" s="48">
        <f t="shared" si="34"/>
        <v>0.1787077481839647</v>
      </c>
      <c r="AZ60" s="54">
        <f t="shared" si="35"/>
        <v>0.42312120378411067</v>
      </c>
    </row>
    <row r="61" spans="1:52" x14ac:dyDescent="0.3">
      <c r="A61" s="1">
        <v>2018</v>
      </c>
      <c r="B61">
        <v>1.18</v>
      </c>
      <c r="C61">
        <v>4.46</v>
      </c>
      <c r="D61">
        <v>4.5</v>
      </c>
      <c r="E61">
        <v>9.57</v>
      </c>
      <c r="F61">
        <v>15.53</v>
      </c>
      <c r="G61">
        <v>40.619999999999997</v>
      </c>
      <c r="H61">
        <v>37.479999999999997</v>
      </c>
      <c r="I61">
        <v>30.33</v>
      </c>
      <c r="J61">
        <v>111.31</v>
      </c>
      <c r="M61" s="1">
        <v>2018</v>
      </c>
      <c r="N61">
        <f t="shared" si="0"/>
        <v>14.16</v>
      </c>
      <c r="O61">
        <f t="shared" si="1"/>
        <v>26.759999999999998</v>
      </c>
      <c r="P61">
        <f t="shared" si="2"/>
        <v>18</v>
      </c>
      <c r="Q61">
        <f t="shared" si="3"/>
        <v>19.14</v>
      </c>
      <c r="R61">
        <f t="shared" si="4"/>
        <v>15.53</v>
      </c>
      <c r="S61">
        <f t="shared" si="5"/>
        <v>20.309999999999999</v>
      </c>
      <c r="T61">
        <f t="shared" si="6"/>
        <v>6.2466666666666661</v>
      </c>
      <c r="U61">
        <f t="shared" si="7"/>
        <v>2.5274999999999999</v>
      </c>
      <c r="V61">
        <f t="shared" si="8"/>
        <v>4.6379166666666665</v>
      </c>
      <c r="Y61" s="21">
        <v>2016</v>
      </c>
      <c r="Z61" s="62">
        <f t="shared" si="36"/>
        <v>35.76</v>
      </c>
      <c r="AA61" s="48">
        <f t="shared" si="37"/>
        <v>0.67808548542722991</v>
      </c>
      <c r="AB61" s="54">
        <f t="shared" si="38"/>
        <v>2.6534007612206183E-2</v>
      </c>
      <c r="AC61" s="66">
        <f t="shared" si="12"/>
        <v>14.46</v>
      </c>
      <c r="AD61" s="50">
        <f t="shared" si="13"/>
        <v>-1.0012332691022783</v>
      </c>
      <c r="AE61" s="67">
        <f t="shared" si="14"/>
        <v>2.425014901623446E-2</v>
      </c>
      <c r="AF61" s="68">
        <f t="shared" si="15"/>
        <v>21.4</v>
      </c>
      <c r="AG61" s="51">
        <f t="shared" si="16"/>
        <v>-0.15742107925632212</v>
      </c>
      <c r="AH61" s="69">
        <f t="shared" si="17"/>
        <v>4.8123341571020523E-2</v>
      </c>
      <c r="AI61" s="66">
        <f t="shared" si="18"/>
        <v>15.82</v>
      </c>
      <c r="AJ61" s="50">
        <f t="shared" si="19"/>
        <v>-0.60576876729814</v>
      </c>
      <c r="AK61" s="67">
        <f t="shared" si="20"/>
        <v>5.1781896882815738E-2</v>
      </c>
      <c r="AL61" s="62">
        <f t="shared" si="21"/>
        <v>12.81</v>
      </c>
      <c r="AM61" s="48">
        <f t="shared" si="22"/>
        <v>-1.0671877771730935</v>
      </c>
      <c r="AN61" s="54">
        <f t="shared" si="23"/>
        <v>4.210098641001269E-2</v>
      </c>
      <c r="AO61" s="70">
        <f t="shared" si="24"/>
        <v>12.574999999999999</v>
      </c>
      <c r="AP61" s="50">
        <f t="shared" si="25"/>
        <v>-1.026506521285846</v>
      </c>
      <c r="AQ61" s="67">
        <f t="shared" si="26"/>
        <v>6.3004292180192878E-2</v>
      </c>
      <c r="AR61" s="62">
        <f t="shared" si="27"/>
        <v>10.028333333333334</v>
      </c>
      <c r="AS61" s="48">
        <f t="shared" si="28"/>
        <v>1.776788533209088</v>
      </c>
      <c r="AT61" s="54">
        <f t="shared" si="29"/>
        <v>0.10594620967437754</v>
      </c>
      <c r="AU61" s="66">
        <f t="shared" si="30"/>
        <v>6.09</v>
      </c>
      <c r="AV61" s="50">
        <f t="shared" si="31"/>
        <v>1.3924107987690126</v>
      </c>
      <c r="AW61" s="67">
        <f t="shared" si="32"/>
        <v>0.2262477614689507</v>
      </c>
      <c r="AX61" s="57">
        <f t="shared" si="33"/>
        <v>3.3145833333333332</v>
      </c>
      <c r="AY61" s="48">
        <f t="shared" si="34"/>
        <v>-0.29433101637855358</v>
      </c>
      <c r="AZ61" s="54">
        <f t="shared" si="35"/>
        <v>0.40945196518376403</v>
      </c>
    </row>
    <row r="62" spans="1:52" x14ac:dyDescent="0.3">
      <c r="A62" s="1">
        <v>2019</v>
      </c>
      <c r="B62">
        <v>2.14</v>
      </c>
      <c r="C62">
        <v>3.92</v>
      </c>
      <c r="D62">
        <v>9</v>
      </c>
      <c r="E62">
        <v>7.15</v>
      </c>
      <c r="F62">
        <v>15.2</v>
      </c>
      <c r="G62">
        <v>44.66</v>
      </c>
      <c r="H62">
        <v>36.590000000000003</v>
      </c>
      <c r="I62">
        <v>69.680000000000007</v>
      </c>
      <c r="J62">
        <v>97.8</v>
      </c>
      <c r="M62" s="1">
        <v>2019</v>
      </c>
      <c r="N62">
        <f t="shared" si="0"/>
        <v>25.68</v>
      </c>
      <c r="O62">
        <f t="shared" si="1"/>
        <v>23.52</v>
      </c>
      <c r="P62">
        <f t="shared" si="2"/>
        <v>36</v>
      </c>
      <c r="Q62">
        <f t="shared" si="3"/>
        <v>14.3</v>
      </c>
      <c r="R62">
        <f t="shared" si="4"/>
        <v>15.2</v>
      </c>
      <c r="S62">
        <f t="shared" si="5"/>
        <v>22.33</v>
      </c>
      <c r="T62">
        <f t="shared" si="6"/>
        <v>6.0983333333333336</v>
      </c>
      <c r="U62">
        <f t="shared" si="7"/>
        <v>5.8066666666666675</v>
      </c>
      <c r="V62">
        <f t="shared" si="8"/>
        <v>4.0750000000000002</v>
      </c>
      <c r="Y62" s="21">
        <v>2017</v>
      </c>
      <c r="Z62" s="62">
        <f t="shared" si="36"/>
        <v>12.48</v>
      </c>
      <c r="AA62" s="48">
        <f t="shared" si="37"/>
        <v>-0.89829059813038281</v>
      </c>
      <c r="AB62" s="54">
        <f t="shared" si="38"/>
        <v>1.8301607444329748E-2</v>
      </c>
      <c r="AC62" s="66">
        <f t="shared" si="12"/>
        <v>31.44</v>
      </c>
      <c r="AD62" s="50">
        <f t="shared" si="13"/>
        <v>0.79249335142490995</v>
      </c>
      <c r="AE62" s="67">
        <f t="shared" si="14"/>
        <v>3.9002190103392245E-2</v>
      </c>
      <c r="AF62" s="68">
        <f t="shared" si="15"/>
        <v>11.52</v>
      </c>
      <c r="AG62" s="51">
        <f t="shared" si="16"/>
        <v>-1.1784190637546539</v>
      </c>
      <c r="AH62" s="69">
        <f t="shared" si="17"/>
        <v>1.6710217933691117E-2</v>
      </c>
      <c r="AI62" s="66">
        <f t="shared" si="18"/>
        <v>22.4</v>
      </c>
      <c r="AJ62" s="50">
        <f t="shared" si="19"/>
        <v>0.30033682234081488</v>
      </c>
      <c r="AK62" s="67">
        <f t="shared" si="20"/>
        <v>6.2366410421761477E-2</v>
      </c>
      <c r="AL62" s="62">
        <f t="shared" si="21"/>
        <v>18.21</v>
      </c>
      <c r="AM62" s="48">
        <f t="shared" si="22"/>
        <v>4.898770156692412E-2</v>
      </c>
      <c r="AN62" s="54">
        <f t="shared" si="23"/>
        <v>9.7406717107576812E-2</v>
      </c>
      <c r="AO62" s="70">
        <f t="shared" si="24"/>
        <v>19.27</v>
      </c>
      <c r="AP62" s="50">
        <f t="shared" si="25"/>
        <v>0.89438262971932092</v>
      </c>
      <c r="AQ62" s="67">
        <f t="shared" si="26"/>
        <v>9.9958110956323579E-2</v>
      </c>
      <c r="AR62" s="62">
        <f t="shared" si="27"/>
        <v>6.875</v>
      </c>
      <c r="AS62" s="48">
        <f t="shared" si="28"/>
        <v>-4.6777884137718113E-2</v>
      </c>
      <c r="AT62" s="54">
        <f t="shared" si="29"/>
        <v>0.27254106227123637</v>
      </c>
      <c r="AU62" s="66">
        <f t="shared" si="30"/>
        <v>6.3999999999999995</v>
      </c>
      <c r="AV62" s="50">
        <f t="shared" si="31"/>
        <v>1.6745844779820533</v>
      </c>
      <c r="AW62" s="67">
        <f t="shared" si="32"/>
        <v>0.18137134154825005</v>
      </c>
      <c r="AX62" s="57">
        <f t="shared" si="33"/>
        <v>3.4183333333333334</v>
      </c>
      <c r="AY62" s="48">
        <f t="shared" si="34"/>
        <v>-0.19987500003848355</v>
      </c>
      <c r="AZ62" s="54">
        <f t="shared" si="35"/>
        <v>0.42045674822856116</v>
      </c>
    </row>
    <row r="63" spans="1:52" x14ac:dyDescent="0.3">
      <c r="A63" s="1">
        <v>2020</v>
      </c>
      <c r="B63">
        <v>2.37</v>
      </c>
      <c r="C63">
        <v>2.2999999999999998</v>
      </c>
      <c r="D63">
        <v>4.67</v>
      </c>
      <c r="E63">
        <v>7.56</v>
      </c>
      <c r="F63">
        <v>17.82</v>
      </c>
      <c r="G63">
        <v>35.03</v>
      </c>
      <c r="H63">
        <v>40.700000000000003</v>
      </c>
      <c r="I63">
        <v>43.43</v>
      </c>
      <c r="J63">
        <v>66.7</v>
      </c>
      <c r="M63" s="1">
        <v>2020</v>
      </c>
      <c r="N63">
        <f t="shared" si="0"/>
        <v>28.44</v>
      </c>
      <c r="O63">
        <f t="shared" si="1"/>
        <v>13.799999999999999</v>
      </c>
      <c r="P63">
        <f t="shared" si="2"/>
        <v>18.68</v>
      </c>
      <c r="Q63">
        <f t="shared" si="3"/>
        <v>15.12</v>
      </c>
      <c r="R63">
        <f t="shared" si="4"/>
        <v>17.82</v>
      </c>
      <c r="S63">
        <f t="shared" si="5"/>
        <v>17.515000000000001</v>
      </c>
      <c r="T63">
        <f t="shared" si="6"/>
        <v>6.7833333333333341</v>
      </c>
      <c r="U63">
        <f t="shared" si="7"/>
        <v>3.6191666666666666</v>
      </c>
      <c r="V63">
        <f t="shared" si="8"/>
        <v>2.7791666666666668</v>
      </c>
      <c r="Y63" s="21">
        <v>2018</v>
      </c>
      <c r="Z63" s="62">
        <f t="shared" si="36"/>
        <v>14.16</v>
      </c>
      <c r="AA63" s="48">
        <f t="shared" si="37"/>
        <v>-0.78453149931694688</v>
      </c>
      <c r="AB63" s="54">
        <f t="shared" si="38"/>
        <v>2.1269029722972756E-2</v>
      </c>
      <c r="AC63" s="66">
        <f t="shared" si="12"/>
        <v>26.759999999999998</v>
      </c>
      <c r="AD63" s="50">
        <f t="shared" si="13"/>
        <v>0.29810933587324639</v>
      </c>
      <c r="AE63" s="67">
        <f t="shared" si="14"/>
        <v>4.7870346553878881E-2</v>
      </c>
      <c r="AF63" s="68">
        <f t="shared" si="15"/>
        <v>18</v>
      </c>
      <c r="AG63" s="51">
        <f t="shared" si="16"/>
        <v>-0.50877666096627416</v>
      </c>
      <c r="AH63" s="69">
        <f t="shared" si="17"/>
        <v>4.1777422689577383E-2</v>
      </c>
      <c r="AI63" s="66">
        <f t="shared" si="18"/>
        <v>19.14</v>
      </c>
      <c r="AJ63" s="50">
        <f t="shared" si="19"/>
        <v>-0.14858479197878874</v>
      </c>
      <c r="AK63" s="67">
        <f t="shared" si="20"/>
        <v>6.4220727722153231E-2</v>
      </c>
      <c r="AL63" s="62">
        <f t="shared" si="21"/>
        <v>15.53</v>
      </c>
      <c r="AM63" s="48">
        <f t="shared" si="22"/>
        <v>-0.5049660545484923</v>
      </c>
      <c r="AN63" s="54">
        <f t="shared" si="23"/>
        <v>8.3773145302236215E-2</v>
      </c>
      <c r="AO63" s="70">
        <f t="shared" si="24"/>
        <v>20.309999999999999</v>
      </c>
      <c r="AP63" s="50">
        <f t="shared" si="25"/>
        <v>1.1927731774482786</v>
      </c>
      <c r="AQ63" s="67">
        <f t="shared" si="26"/>
        <v>8.2421129130480983E-2</v>
      </c>
      <c r="AR63" s="62">
        <f t="shared" si="27"/>
        <v>6.2466666666666661</v>
      </c>
      <c r="AS63" s="48">
        <f t="shared" si="28"/>
        <v>-0.41014180556464536</v>
      </c>
      <c r="AT63" s="54">
        <f t="shared" si="29"/>
        <v>0.24764863975536058</v>
      </c>
      <c r="AU63" s="66">
        <f t="shared" si="30"/>
        <v>2.5274999999999999</v>
      </c>
      <c r="AV63" s="50">
        <f t="shared" si="31"/>
        <v>-1.8503109179937556</v>
      </c>
      <c r="AW63" s="67">
        <f t="shared" si="32"/>
        <v>1.2820311514381878E-2</v>
      </c>
      <c r="AX63" s="57">
        <f t="shared" si="33"/>
        <v>4.6379166666666665</v>
      </c>
      <c r="AY63" s="48">
        <f t="shared" si="34"/>
        <v>0.91045736874619232</v>
      </c>
      <c r="AZ63" s="54">
        <f t="shared" si="35"/>
        <v>0.31416526705765813</v>
      </c>
    </row>
    <row r="64" spans="1:52" x14ac:dyDescent="0.3">
      <c r="Y64" s="21">
        <v>2019</v>
      </c>
      <c r="Z64" s="62">
        <f t="shared" si="36"/>
        <v>25.68</v>
      </c>
      <c r="AA64" s="48">
        <f t="shared" si="37"/>
        <v>-4.4691074533858757E-3</v>
      </c>
      <c r="AB64" s="54">
        <f t="shared" si="38"/>
        <v>3.1947391921580255E-2</v>
      </c>
      <c r="AC64" s="66">
        <f t="shared" si="12"/>
        <v>23.52</v>
      </c>
      <c r="AD64" s="50">
        <f t="shared" si="13"/>
        <v>-4.4156521047135654E-2</v>
      </c>
      <c r="AE64" s="67">
        <f t="shared" si="14"/>
        <v>4.9791105037641843E-2</v>
      </c>
      <c r="AF64" s="68">
        <f t="shared" si="15"/>
        <v>36</v>
      </c>
      <c r="AG64" s="51">
        <f t="shared" si="16"/>
        <v>1.3513411245570024</v>
      </c>
      <c r="AH64" s="69">
        <f t="shared" si="17"/>
        <v>2.6485586666908725E-2</v>
      </c>
      <c r="AI64" s="66">
        <f t="shared" si="18"/>
        <v>14.3</v>
      </c>
      <c r="AJ64" s="50">
        <f t="shared" si="19"/>
        <v>-0.81508191262507179</v>
      </c>
      <c r="AK64" s="67">
        <f t="shared" si="20"/>
        <v>4.1664671959625151E-2</v>
      </c>
      <c r="AL64" s="62">
        <f t="shared" si="21"/>
        <v>15.2</v>
      </c>
      <c r="AM64" s="48">
        <f t="shared" si="22"/>
        <v>-0.57317677824927127</v>
      </c>
      <c r="AN64" s="54">
        <f t="shared" si="23"/>
        <v>7.9786882922042154E-2</v>
      </c>
      <c r="AO64" s="70">
        <f t="shared" si="24"/>
        <v>22.33</v>
      </c>
      <c r="AP64" s="50">
        <f t="shared" si="25"/>
        <v>1.7723394336141391</v>
      </c>
      <c r="AQ64" s="67">
        <f t="shared" si="26"/>
        <v>5.2758208454254149E-2</v>
      </c>
      <c r="AR64" s="62">
        <f t="shared" si="27"/>
        <v>6.0983333333333336</v>
      </c>
      <c r="AS64" s="48">
        <f t="shared" si="28"/>
        <v>-0.49592267826224834</v>
      </c>
      <c r="AT64" s="54">
        <f t="shared" si="29"/>
        <v>0.23575914806995002</v>
      </c>
      <c r="AU64" s="66">
        <f t="shared" si="30"/>
        <v>5.8066666666666675</v>
      </c>
      <c r="AV64" s="50">
        <f t="shared" si="31"/>
        <v>1.1345101242194602</v>
      </c>
      <c r="AW64" s="67">
        <f t="shared" si="32"/>
        <v>0.27217011772845362</v>
      </c>
      <c r="AX64" s="57">
        <f t="shared" si="33"/>
        <v>4.0750000000000002</v>
      </c>
      <c r="AY64" s="48">
        <f t="shared" si="34"/>
        <v>0.3979670953508741</v>
      </c>
      <c r="AZ64" s="54">
        <f t="shared" si="35"/>
        <v>0.40064088777063428</v>
      </c>
    </row>
    <row r="65" spans="1:52" x14ac:dyDescent="0.3">
      <c r="A65" s="2" t="s">
        <v>12</v>
      </c>
      <c r="B65">
        <f t="shared" ref="B65:J65" si="39">AVERAGE(B4:B63)</f>
        <v>2.1455000000000006</v>
      </c>
      <c r="C65">
        <f t="shared" si="39"/>
        <v>3.9896666666666669</v>
      </c>
      <c r="D65">
        <f t="shared" si="39"/>
        <v>5.7308333333333339</v>
      </c>
      <c r="E65">
        <f t="shared" si="39"/>
        <v>10.109499999999999</v>
      </c>
      <c r="F65">
        <f t="shared" si="39"/>
        <v>17.972999999999995</v>
      </c>
      <c r="G65">
        <f t="shared" si="39"/>
        <v>32.305500000000002</v>
      </c>
      <c r="H65">
        <f t="shared" si="39"/>
        <v>41.735333333333344</v>
      </c>
      <c r="I65">
        <f t="shared" si="39"/>
        <v>54.723333333333329</v>
      </c>
      <c r="J65">
        <f t="shared" si="39"/>
        <v>87.309000000000012</v>
      </c>
      <c r="M65" s="2" t="s">
        <v>12</v>
      </c>
      <c r="N65">
        <f t="shared" ref="N65:V65" si="40">AVERAGE(N4:N63)</f>
        <v>25.746000000000013</v>
      </c>
      <c r="O65">
        <f t="shared" si="40"/>
        <v>23.937999999999999</v>
      </c>
      <c r="P65">
        <f t="shared" si="40"/>
        <v>22.923333333333336</v>
      </c>
      <c r="Q65">
        <f t="shared" si="40"/>
        <v>20.218999999999998</v>
      </c>
      <c r="R65">
        <f t="shared" si="40"/>
        <v>17.972999999999995</v>
      </c>
      <c r="S65">
        <f t="shared" si="40"/>
        <v>16.152750000000001</v>
      </c>
      <c r="T65">
        <f t="shared" si="40"/>
        <v>6.9558888888888868</v>
      </c>
      <c r="U65">
        <f t="shared" si="40"/>
        <v>4.5602777777777757</v>
      </c>
      <c r="V65">
        <f t="shared" si="40"/>
        <v>3.6378749999999984</v>
      </c>
      <c r="Y65" s="21">
        <v>2020</v>
      </c>
      <c r="Z65" s="62">
        <f t="shared" si="36"/>
        <v>28.44</v>
      </c>
      <c r="AA65" s="48">
        <f t="shared" si="37"/>
        <v>0.18242084059725905</v>
      </c>
      <c r="AB65" s="54">
        <f t="shared" si="38"/>
        <v>3.1450947419322285E-2</v>
      </c>
      <c r="AC65" s="66">
        <f t="shared" si="12"/>
        <v>13.799999999999999</v>
      </c>
      <c r="AD65" s="50">
        <f t="shared" si="13"/>
        <v>-1.0709540918082823</v>
      </c>
      <c r="AE65" s="67">
        <f t="shared" si="14"/>
        <v>2.136208213428652E-2</v>
      </c>
      <c r="AF65" s="68">
        <f t="shared" si="15"/>
        <v>18.68</v>
      </c>
      <c r="AG65" s="51">
        <f t="shared" si="16"/>
        <v>-0.43850554462428376</v>
      </c>
      <c r="AH65" s="69">
        <f t="shared" si="17"/>
        <v>4.3595401523113364E-2</v>
      </c>
      <c r="AI65" s="66">
        <f t="shared" si="18"/>
        <v>15.12</v>
      </c>
      <c r="AJ65" s="50">
        <f t="shared" si="19"/>
        <v>-0.70216297896185875</v>
      </c>
      <c r="AK65" s="67">
        <f t="shared" si="20"/>
        <v>4.7369674692431654E-2</v>
      </c>
      <c r="AL65" s="62">
        <f t="shared" si="21"/>
        <v>17.82</v>
      </c>
      <c r="AM65" s="48">
        <f t="shared" si="22"/>
        <v>-3.1624971897632831E-2</v>
      </c>
      <c r="AN65" s="54">
        <f t="shared" si="23"/>
        <v>9.7472504310438801E-2</v>
      </c>
      <c r="AO65" s="70">
        <f t="shared" si="24"/>
        <v>17.515000000000001</v>
      </c>
      <c r="AP65" s="50">
        <f t="shared" si="25"/>
        <v>0.39084858042670467</v>
      </c>
      <c r="AQ65" s="67">
        <f t="shared" si="26"/>
        <v>0.12655317996554205</v>
      </c>
      <c r="AR65" s="62">
        <f t="shared" si="27"/>
        <v>6.7833333333333341</v>
      </c>
      <c r="AS65" s="48">
        <f t="shared" si="28"/>
        <v>-9.978853580477598E-2</v>
      </c>
      <c r="AT65" s="54">
        <f t="shared" si="29"/>
        <v>0.27144293506392053</v>
      </c>
      <c r="AU65" s="66">
        <f t="shared" si="30"/>
        <v>3.6191666666666666</v>
      </c>
      <c r="AV65" s="50">
        <f t="shared" si="31"/>
        <v>-0.85663478958224049</v>
      </c>
      <c r="AW65" s="67">
        <f t="shared" si="32"/>
        <v>0.26084602939153018</v>
      </c>
      <c r="AX65" s="57">
        <f t="shared" si="33"/>
        <v>2.7791666666666668</v>
      </c>
      <c r="AY65" s="48">
        <f>(AX65-AX$67)/AX$68</f>
        <v>-0.78178475532228719</v>
      </c>
      <c r="AZ65" s="54">
        <f t="shared" si="35"/>
        <v>0.28689959968435103</v>
      </c>
    </row>
    <row r="66" spans="1:52" ht="15" thickBot="1" x14ac:dyDescent="0.35">
      <c r="A66" s="1" t="s">
        <v>13</v>
      </c>
      <c r="B66">
        <f t="shared" ref="B66:J66" si="41">_xlfn.STDEV.S(B4:B63)</f>
        <v>1.2306707899435714</v>
      </c>
      <c r="C66">
        <f t="shared" si="41"/>
        <v>1.5777209122136131</v>
      </c>
      <c r="D66">
        <f t="shared" si="41"/>
        <v>2.419201641434813</v>
      </c>
      <c r="E66">
        <f t="shared" si="41"/>
        <v>3.6309234129224679</v>
      </c>
      <c r="F66">
        <f t="shared" si="41"/>
        <v>4.8379489630929093</v>
      </c>
      <c r="G66">
        <f t="shared" si="41"/>
        <v>6.9707301917933435</v>
      </c>
      <c r="H66">
        <f t="shared" si="41"/>
        <v>10.375273321564794</v>
      </c>
      <c r="I66">
        <f t="shared" si="41"/>
        <v>13.183369938595169</v>
      </c>
      <c r="J66">
        <f t="shared" si="41"/>
        <v>26.36147591737554</v>
      </c>
      <c r="M66" s="1" t="s">
        <v>13</v>
      </c>
      <c r="N66">
        <f t="shared" ref="N66:V66" si="42">_xlfn.STDEV.S(N4:N63)</f>
        <v>14.768049479322851</v>
      </c>
      <c r="O66">
        <f t="shared" si="42"/>
        <v>9.4663254732816888</v>
      </c>
      <c r="P66">
        <f t="shared" si="42"/>
        <v>9.6768065657392519</v>
      </c>
      <c r="Q66">
        <f t="shared" si="42"/>
        <v>7.2618468258449358</v>
      </c>
      <c r="R66">
        <f t="shared" si="42"/>
        <v>4.8379489630929093</v>
      </c>
      <c r="S66">
        <f t="shared" si="42"/>
        <v>3.4853650958966718</v>
      </c>
      <c r="T66">
        <f t="shared" si="42"/>
        <v>1.7292122202608169</v>
      </c>
      <c r="U66">
        <f t="shared" si="42"/>
        <v>1.0986141615495975</v>
      </c>
      <c r="V66">
        <f t="shared" si="42"/>
        <v>1.0983948298906558</v>
      </c>
      <c r="Y66" s="22"/>
      <c r="Z66" s="11"/>
      <c r="AB66" s="12"/>
      <c r="AC66" s="11"/>
      <c r="AE66" s="12"/>
      <c r="AF66" s="11"/>
      <c r="AH66" s="12"/>
      <c r="AI66" s="11"/>
      <c r="AK66" s="12"/>
      <c r="AL66" s="11"/>
      <c r="AN66" s="12"/>
      <c r="AO66" s="11"/>
      <c r="AQ66" s="12"/>
      <c r="AR66" s="11"/>
      <c r="AT66" s="12"/>
      <c r="AU66" s="11"/>
      <c r="AW66" s="12"/>
      <c r="AZ66" s="12"/>
    </row>
    <row r="67" spans="1:52" x14ac:dyDescent="0.3">
      <c r="Y67" s="20" t="s">
        <v>12</v>
      </c>
      <c r="Z67" s="18">
        <f>AVERAGE(Z6:Z65)</f>
        <v>25.746000000000013</v>
      </c>
      <c r="AA67" s="28"/>
      <c r="AB67" s="71"/>
      <c r="AC67" s="18">
        <f>AVERAGE(AC6:AC65)</f>
        <v>23.937999999999999</v>
      </c>
      <c r="AD67" s="72"/>
      <c r="AE67" s="71"/>
      <c r="AF67" s="18">
        <f>AVERAGE(AF6:AF65)</f>
        <v>22.923333333333336</v>
      </c>
      <c r="AG67" s="16"/>
      <c r="AH67" s="73"/>
      <c r="AI67" s="18">
        <f>AVERAGE(AI6:AI65)</f>
        <v>20.218999999999998</v>
      </c>
      <c r="AJ67" s="28"/>
      <c r="AK67" s="71"/>
      <c r="AL67" s="18">
        <f>AVERAGE(AL6:AL65)</f>
        <v>17.972999999999995</v>
      </c>
      <c r="AM67" s="28"/>
      <c r="AN67" s="71"/>
      <c r="AO67" s="18">
        <f>AVERAGE(AO6:AO65)</f>
        <v>16.152750000000001</v>
      </c>
      <c r="AP67" s="28"/>
      <c r="AQ67" s="71"/>
      <c r="AR67" s="18">
        <f>AVERAGE(AR6:AR65)</f>
        <v>6.9558888888888868</v>
      </c>
      <c r="AS67" s="28"/>
      <c r="AT67" s="71"/>
      <c r="AU67" s="18">
        <f>AVERAGE(AU6:AU65)</f>
        <v>4.5602777777777757</v>
      </c>
      <c r="AV67" s="28"/>
      <c r="AW67" s="71"/>
      <c r="AX67" s="16">
        <f>AVERAGE(AX6:AX65)</f>
        <v>3.6378749999999984</v>
      </c>
      <c r="AY67" s="28"/>
      <c r="AZ67" s="71"/>
    </row>
    <row r="68" spans="1:52" ht="15" customHeight="1" thickBot="1" x14ac:dyDescent="0.35">
      <c r="A68" s="165" t="s">
        <v>17</v>
      </c>
      <c r="B68" s="165"/>
      <c r="C68" s="167" t="s">
        <v>19</v>
      </c>
      <c r="D68" s="167"/>
      <c r="E68" s="167"/>
      <c r="G68" s="163" t="s">
        <v>18</v>
      </c>
      <c r="H68" s="163"/>
      <c r="I68" s="163"/>
      <c r="M68" s="2" t="s">
        <v>14</v>
      </c>
      <c r="N68" s="1">
        <f t="shared" ref="N68:V68" si="43">N66/1.2825</f>
        <v>11.515048326957389</v>
      </c>
      <c r="O68" s="1">
        <f t="shared" si="43"/>
        <v>7.381150466496444</v>
      </c>
      <c r="P68" s="1">
        <f t="shared" si="43"/>
        <v>7.5452682773795337</v>
      </c>
      <c r="Q68" s="3">
        <f t="shared" si="43"/>
        <v>5.6622587336022896</v>
      </c>
      <c r="R68" s="1">
        <f t="shared" si="43"/>
        <v>3.772279893249832</v>
      </c>
      <c r="S68" s="1">
        <f t="shared" si="43"/>
        <v>2.7176336030383408</v>
      </c>
      <c r="T68" s="1">
        <f t="shared" si="43"/>
        <v>1.3483136220357248</v>
      </c>
      <c r="U68" s="1">
        <f t="shared" si="43"/>
        <v>0.85661922927843859</v>
      </c>
      <c r="V68" s="1">
        <f t="shared" si="43"/>
        <v>0.85644821044105723</v>
      </c>
      <c r="Y68" s="26" t="s">
        <v>13</v>
      </c>
      <c r="Z68" s="74">
        <f>_xlfn.STDEV.S(Z6:Z65)</f>
        <v>14.768049479322851</v>
      </c>
      <c r="AA68" s="14"/>
      <c r="AB68" s="15"/>
      <c r="AC68" s="74">
        <f>_xlfn.STDEV.S(AC6:AC65)</f>
        <v>9.4663254732816888</v>
      </c>
      <c r="AD68" s="75"/>
      <c r="AE68" s="15"/>
      <c r="AF68" s="74">
        <f>_xlfn.STDEV.S(AF6:AF65)</f>
        <v>9.6768065657392519</v>
      </c>
      <c r="AG68" s="76"/>
      <c r="AH68" s="77"/>
      <c r="AI68" s="74">
        <f>_xlfn.STDEV.S(AI6:AI65)</f>
        <v>7.2618468258449358</v>
      </c>
      <c r="AJ68" s="14"/>
      <c r="AK68" s="15"/>
      <c r="AL68" s="74">
        <f>_xlfn.STDEV.S(AL6:AL65)</f>
        <v>4.8379489630929093</v>
      </c>
      <c r="AM68" s="14"/>
      <c r="AN68" s="15"/>
      <c r="AO68" s="74">
        <f>_xlfn.STDEV.S(AO6:AO65)</f>
        <v>3.4853650958966718</v>
      </c>
      <c r="AP68" s="14"/>
      <c r="AQ68" s="15"/>
      <c r="AR68" s="74">
        <f>_xlfn.STDEV.S(AR6:AR65)</f>
        <v>1.7292122202608169</v>
      </c>
      <c r="AS68" s="14"/>
      <c r="AT68" s="15"/>
      <c r="AU68" s="74">
        <f>_xlfn.STDEV.S(AU6:AU65)</f>
        <v>1.0986141615495975</v>
      </c>
      <c r="AV68" s="14"/>
      <c r="AW68" s="15"/>
      <c r="AX68" s="76">
        <f>_xlfn.STDEV.S(AX6:AX65)</f>
        <v>1.0983948298906558</v>
      </c>
      <c r="AY68" s="14"/>
      <c r="AZ68" s="15"/>
    </row>
    <row r="69" spans="1:52" ht="15.6" x14ac:dyDescent="0.3">
      <c r="A69" s="165"/>
      <c r="B69" s="165"/>
      <c r="C69" s="167" t="s">
        <v>20</v>
      </c>
      <c r="D69" s="167"/>
      <c r="E69" s="167"/>
      <c r="G69" s="163"/>
      <c r="H69" s="163"/>
      <c r="I69" s="163"/>
      <c r="M69" s="2" t="s">
        <v>15</v>
      </c>
      <c r="N69" s="1">
        <f t="shared" ref="N69:V69" si="44">N65-(0.5772*N68)</f>
        <v>19.099514105680207</v>
      </c>
      <c r="O69" s="1">
        <f t="shared" si="44"/>
        <v>19.677599950738252</v>
      </c>
      <c r="P69" s="1">
        <f t="shared" si="44"/>
        <v>18.56820448362987</v>
      </c>
      <c r="Q69" s="3">
        <f t="shared" si="44"/>
        <v>16.950744258964754</v>
      </c>
      <c r="R69" s="1">
        <f t="shared" si="44"/>
        <v>15.795640045616192</v>
      </c>
      <c r="S69" s="1">
        <f t="shared" si="44"/>
        <v>14.58413188432627</v>
      </c>
      <c r="T69" s="1">
        <f t="shared" si="44"/>
        <v>6.1776422662498662</v>
      </c>
      <c r="U69" s="1">
        <f t="shared" si="44"/>
        <v>4.0658371586382609</v>
      </c>
      <c r="V69" s="1">
        <f t="shared" si="44"/>
        <v>3.1435330929334202</v>
      </c>
      <c r="Y69" s="22"/>
      <c r="Z69" s="11"/>
      <c r="AB69" s="12"/>
      <c r="AC69" s="11"/>
      <c r="AE69" s="12"/>
      <c r="AF69" s="11"/>
      <c r="AH69" s="12"/>
      <c r="AI69" s="11"/>
      <c r="AK69" s="12"/>
      <c r="AL69" s="11"/>
      <c r="AN69" s="12"/>
      <c r="AO69" s="11"/>
      <c r="AQ69" s="12"/>
      <c r="AR69" s="11"/>
      <c r="AT69" s="12"/>
      <c r="AU69" s="11"/>
      <c r="AW69" s="12"/>
      <c r="AZ69" s="12"/>
    </row>
    <row r="70" spans="1:52" x14ac:dyDescent="0.3">
      <c r="M70" s="2" t="s">
        <v>16</v>
      </c>
      <c r="N70" s="1">
        <f>5/60</f>
        <v>8.3333333333333329E-2</v>
      </c>
      <c r="O70" s="1">
        <f>10/60</f>
        <v>0.16666666666666666</v>
      </c>
      <c r="P70" s="1">
        <f>15/60</f>
        <v>0.25</v>
      </c>
      <c r="Q70" s="1">
        <f>30/60</f>
        <v>0.5</v>
      </c>
      <c r="R70" s="1">
        <v>1</v>
      </c>
      <c r="S70" s="1">
        <v>2</v>
      </c>
      <c r="T70" s="1">
        <v>6</v>
      </c>
      <c r="U70" s="1">
        <v>12</v>
      </c>
      <c r="V70" s="1">
        <v>24</v>
      </c>
      <c r="Y70" s="21" t="s">
        <v>31</v>
      </c>
      <c r="Z70" s="11"/>
      <c r="AB70" s="12">
        <f>PRODUCT(AB6:AB65)</f>
        <v>1.7373531635723283E-102</v>
      </c>
      <c r="AC70" s="11"/>
      <c r="AE70" s="12">
        <f>PRODUCT(AE6:AE65)</f>
        <v>1.166316509395077E-91</v>
      </c>
      <c r="AF70" s="11"/>
      <c r="AH70" s="12">
        <f>PRODUCT(AH6:AH65)</f>
        <v>3.0129531062857276E-92</v>
      </c>
      <c r="AI70" s="11"/>
      <c r="AK70" s="12">
        <f>PRODUCT(AK6:AK65)</f>
        <v>5.247118883611693E-83</v>
      </c>
      <c r="AL70" s="11"/>
      <c r="AN70" s="12">
        <f>PRODUCT(AN6:AN65)</f>
        <v>3.6221252417252453E-72</v>
      </c>
      <c r="AO70" s="11"/>
      <c r="AQ70" s="12">
        <f>PRODUCT(AQ6:AQ65)</f>
        <v>2.7818433073018188E-67</v>
      </c>
      <c r="AR70" s="11"/>
      <c r="AT70" s="12">
        <f>PRODUCT(AT6:AT65)</f>
        <v>4.0254704538145388E-46</v>
      </c>
      <c r="AU70" s="11"/>
      <c r="AW70" s="12">
        <f>PRODUCT(AW6:AW65)</f>
        <v>4.8411519939242439E-36</v>
      </c>
      <c r="AZ70" s="12">
        <f>PRODUCT(AZ6:AZ65)</f>
        <v>7.982985408433436E-35</v>
      </c>
    </row>
    <row r="71" spans="1:52" x14ac:dyDescent="0.3">
      <c r="A71" s="163" t="s">
        <v>28</v>
      </c>
      <c r="B71" s="163"/>
      <c r="C71" s="164" t="s">
        <v>29</v>
      </c>
      <c r="D71" s="164"/>
      <c r="E71" s="164"/>
      <c r="G71" s="163" t="s">
        <v>32</v>
      </c>
      <c r="H71" s="163"/>
      <c r="I71" s="163"/>
      <c r="M71" s="2" t="s">
        <v>21</v>
      </c>
      <c r="N71">
        <f>(N69-(N68*LN(LN(2/1))))</f>
        <v>23.319928098632367</v>
      </c>
      <c r="O71">
        <f t="shared" ref="O71:V71" si="45">(O69-(O68*LN(LN(2/1))))</f>
        <v>22.382886965466579</v>
      </c>
      <c r="P71">
        <f t="shared" si="45"/>
        <v>21.333642796544428</v>
      </c>
      <c r="Q71">
        <f t="shared" si="45"/>
        <v>19.026035244506364</v>
      </c>
      <c r="R71">
        <f t="shared" si="45"/>
        <v>17.178229366542677</v>
      </c>
      <c r="S71">
        <f t="shared" si="45"/>
        <v>15.580179713246723</v>
      </c>
      <c r="T71">
        <f t="shared" si="45"/>
        <v>6.6718166297222217</v>
      </c>
      <c r="U71">
        <f t="shared" si="45"/>
        <v>4.3797991741875162</v>
      </c>
      <c r="V71">
        <f t="shared" si="45"/>
        <v>3.457432427869112</v>
      </c>
      <c r="Y71" s="22"/>
      <c r="Z71" s="11"/>
      <c r="AB71" s="12"/>
      <c r="AC71" s="11"/>
      <c r="AE71" s="12"/>
      <c r="AF71" s="11"/>
      <c r="AH71" s="12"/>
      <c r="AI71" s="11"/>
      <c r="AK71" s="12"/>
      <c r="AL71" s="11"/>
      <c r="AN71" s="12"/>
      <c r="AO71" s="11"/>
      <c r="AQ71" s="12"/>
      <c r="AR71" s="11"/>
      <c r="AT71" s="12"/>
      <c r="AU71" s="11"/>
      <c r="AW71" s="12"/>
      <c r="AZ71" s="12"/>
    </row>
    <row r="72" spans="1:52" x14ac:dyDescent="0.3">
      <c r="A72" s="163"/>
      <c r="B72" s="163"/>
      <c r="C72" s="164"/>
      <c r="D72" s="164"/>
      <c r="E72" s="164"/>
      <c r="G72" s="163"/>
      <c r="H72" s="163"/>
      <c r="I72" s="163"/>
      <c r="M72" s="2" t="s">
        <v>22</v>
      </c>
      <c r="N72">
        <f>(N69-(N68*LN(LN(5/4))))</f>
        <v>36.371395540751855</v>
      </c>
      <c r="O72">
        <f t="shared" ref="O72:V72" si="46">(O69-(O68*LN(LN(5/4))))</f>
        <v>30.748882683724922</v>
      </c>
      <c r="P72">
        <f t="shared" si="46"/>
        <v>29.885654083699521</v>
      </c>
      <c r="Q72">
        <f t="shared" si="46"/>
        <v>25.443792548873123</v>
      </c>
      <c r="R72">
        <f t="shared" si="46"/>
        <v>21.453833498750534</v>
      </c>
      <c r="S72">
        <f t="shared" si="46"/>
        <v>18.660419194884813</v>
      </c>
      <c r="T72">
        <f t="shared" si="46"/>
        <v>8.2000317826338058</v>
      </c>
      <c r="U72">
        <f t="shared" si="46"/>
        <v>5.3507145940601086</v>
      </c>
      <c r="V72">
        <f t="shared" si="46"/>
        <v>4.42815401036259</v>
      </c>
      <c r="Y72" s="60" t="s">
        <v>33</v>
      </c>
      <c r="Z72" s="63"/>
      <c r="AA72" s="7"/>
      <c r="AB72" s="55">
        <f>(-2*LN(AB70))+(2*2)</f>
        <v>472.62263340136246</v>
      </c>
      <c r="AC72" s="63"/>
      <c r="AD72" s="7"/>
      <c r="AE72" s="55">
        <f>(-2*LN(AE70))+(2*2)</f>
        <v>422.76278592496919</v>
      </c>
      <c r="AF72" s="63"/>
      <c r="AG72" s="7"/>
      <c r="AH72" s="55">
        <f>(-2*LN(AH70))+(2*2)</f>
        <v>425.46981571844026</v>
      </c>
      <c r="AI72" s="63"/>
      <c r="AJ72" s="7"/>
      <c r="AK72" s="55">
        <f>(-2*LN(AK70))+(2*2)</f>
        <v>382.91376715322662</v>
      </c>
      <c r="AL72" s="63"/>
      <c r="AM72" s="7"/>
      <c r="AN72" s="55">
        <f>(-2*LN(AN70))+(2*2)</f>
        <v>332.99813151730018</v>
      </c>
      <c r="AO72" s="63"/>
      <c r="AP72" s="7"/>
      <c r="AQ72" s="55">
        <f>(-2*LN(AQ70))+(2*2)</f>
        <v>310.50017492489059</v>
      </c>
      <c r="AR72" s="63"/>
      <c r="AS72" s="7"/>
      <c r="AT72" s="55">
        <f>(-2*LN(AT70))+(2*2)</f>
        <v>213.05254498150111</v>
      </c>
      <c r="AU72" s="63"/>
      <c r="AV72" s="7"/>
      <c r="AW72" s="55">
        <f>(-2*LN(AW70))+(2*2)</f>
        <v>166.63182128020929</v>
      </c>
      <c r="AX72" s="58"/>
      <c r="AY72" s="7"/>
      <c r="AZ72" s="55">
        <f>(-2*LN(AZ70))+(2*2)</f>
        <v>161.02633160391915</v>
      </c>
    </row>
    <row r="73" spans="1:52" x14ac:dyDescent="0.3">
      <c r="M73" s="2" t="s">
        <v>23</v>
      </c>
      <c r="N73">
        <f>(N69-(N68*LN(LN(10/9))))</f>
        <v>45.012602633088946</v>
      </c>
      <c r="O73">
        <f t="shared" ref="O73:V73" si="47">(O69-(O68*LN(LN(10/9))))</f>
        <v>36.287899798518865</v>
      </c>
      <c r="P73">
        <f t="shared" si="47"/>
        <v>35.547829690851827</v>
      </c>
      <c r="Q73">
        <f t="shared" si="47"/>
        <v>29.692906311852887</v>
      </c>
      <c r="R73">
        <f t="shared" si="47"/>
        <v>24.284655466863292</v>
      </c>
      <c r="S73">
        <f t="shared" si="47"/>
        <v>20.69980575221015</v>
      </c>
      <c r="T73">
        <f t="shared" si="47"/>
        <v>9.2118431882493628</v>
      </c>
      <c r="U73">
        <f t="shared" si="47"/>
        <v>5.993545084154027</v>
      </c>
      <c r="V73">
        <f t="shared" si="47"/>
        <v>5.070856163245189</v>
      </c>
      <c r="Y73" s="60" t="s">
        <v>34</v>
      </c>
      <c r="Z73" s="63"/>
      <c r="AA73" s="7"/>
      <c r="AB73" s="55">
        <f>(-2*LN(AB70))+(2*LN(60))</f>
        <v>476.81132252580664</v>
      </c>
      <c r="AC73" s="63"/>
      <c r="AD73" s="7"/>
      <c r="AE73" s="55">
        <f>(-2*LN(AE70))+(2*LN(60))</f>
        <v>426.95147504941338</v>
      </c>
      <c r="AF73" s="63"/>
      <c r="AG73" s="7"/>
      <c r="AH73" s="55">
        <f>(-2*LN(AH70))+(2*LN(60))</f>
        <v>429.65850484288444</v>
      </c>
      <c r="AI73" s="63"/>
      <c r="AJ73" s="7"/>
      <c r="AK73" s="55">
        <f>(-2*LN(AK70))+(2*LN(60))</f>
        <v>387.1024562776708</v>
      </c>
      <c r="AL73" s="63"/>
      <c r="AM73" s="7"/>
      <c r="AN73" s="55">
        <f>(-2*LN(AN70))+(2*LN(60))</f>
        <v>337.18682064174436</v>
      </c>
      <c r="AO73" s="63"/>
      <c r="AP73" s="7"/>
      <c r="AQ73" s="55">
        <f>(-2*LN(AQ70))+(2*LN(60))</f>
        <v>314.68886404933477</v>
      </c>
      <c r="AR73" s="63"/>
      <c r="AS73" s="7"/>
      <c r="AT73" s="55">
        <f>(-2*LN(AT70))+(2*LN(60))</f>
        <v>217.24123410594532</v>
      </c>
      <c r="AU73" s="63"/>
      <c r="AV73" s="7"/>
      <c r="AW73" s="55">
        <f>(-2*LN(AW70))+(2*LN(60))</f>
        <v>170.8205104046535</v>
      </c>
      <c r="AX73" s="58"/>
      <c r="AY73" s="7"/>
      <c r="AZ73" s="55">
        <f>(-2*LN(AZ70))+(2*LN(60))</f>
        <v>165.21502072836336</v>
      </c>
    </row>
    <row r="74" spans="1:52" ht="15" thickBot="1" x14ac:dyDescent="0.35">
      <c r="M74" s="2" t="s">
        <v>24</v>
      </c>
      <c r="N74">
        <f>(N69-(N68*LN(LN(25/24))))</f>
        <v>55.930790701652768</v>
      </c>
      <c r="O74">
        <f t="shared" ref="O74:V74" si="48">(O69-(O68*LN(LN(25/24))))</f>
        <v>43.286462606710707</v>
      </c>
      <c r="P74">
        <f t="shared" si="48"/>
        <v>42.702003580625302</v>
      </c>
      <c r="Q74">
        <f t="shared" si="48"/>
        <v>35.06167281556003</v>
      </c>
      <c r="R74">
        <f t="shared" si="48"/>
        <v>27.861406527937316</v>
      </c>
      <c r="S74">
        <f t="shared" si="48"/>
        <v>23.276576073699665</v>
      </c>
      <c r="T74">
        <f t="shared" si="48"/>
        <v>10.490269581504654</v>
      </c>
      <c r="U74">
        <f t="shared" si="48"/>
        <v>6.8057631124982851</v>
      </c>
      <c r="V74">
        <f t="shared" si="48"/>
        <v>5.8829120371827281</v>
      </c>
      <c r="Y74" s="25"/>
      <c r="Z74" s="13"/>
      <c r="AA74" s="14"/>
      <c r="AB74" s="15"/>
      <c r="AC74" s="13"/>
      <c r="AD74" s="14"/>
      <c r="AE74" s="15"/>
      <c r="AF74" s="13"/>
      <c r="AG74" s="14"/>
      <c r="AH74" s="15"/>
      <c r="AI74" s="13"/>
      <c r="AJ74" s="14"/>
      <c r="AK74" s="15"/>
      <c r="AL74" s="13"/>
      <c r="AM74" s="14"/>
      <c r="AN74" s="15"/>
      <c r="AO74" s="13"/>
      <c r="AP74" s="14"/>
      <c r="AQ74" s="15"/>
      <c r="AR74" s="13"/>
      <c r="AS74" s="14"/>
      <c r="AT74" s="15"/>
      <c r="AU74" s="13"/>
      <c r="AV74" s="14"/>
      <c r="AW74" s="15"/>
      <c r="AX74" s="14"/>
      <c r="AY74" s="14"/>
      <c r="AZ74" s="15"/>
    </row>
    <row r="75" spans="1:52" ht="18" x14ac:dyDescent="0.35">
      <c r="A75" s="4"/>
      <c r="B75" s="5"/>
      <c r="C75" s="6"/>
      <c r="D75" s="6"/>
      <c r="E75" s="6"/>
      <c r="F75" s="6"/>
      <c r="G75" s="6"/>
      <c r="H75" s="6"/>
      <c r="I75" s="6"/>
      <c r="J75" s="6"/>
      <c r="M75" s="2" t="s">
        <v>25</v>
      </c>
      <c r="N75">
        <f>(N69-(N68*LN(LN(50/49))))</f>
        <v>64.030526320634578</v>
      </c>
      <c r="O75">
        <f t="shared" ref="O75:V75" si="49">(O69-(O68*LN(LN(50/49))))</f>
        <v>48.478396296001833</v>
      </c>
      <c r="P75">
        <f t="shared" si="49"/>
        <v>48.009378459633986</v>
      </c>
      <c r="Q75">
        <f t="shared" si="49"/>
        <v>39.044530502842321</v>
      </c>
      <c r="R75">
        <f t="shared" si="49"/>
        <v>30.514844789641771</v>
      </c>
      <c r="S75">
        <f t="shared" si="49"/>
        <v>25.188171498127019</v>
      </c>
      <c r="T75">
        <f t="shared" si="49"/>
        <v>11.438679311092544</v>
      </c>
      <c r="U75">
        <f t="shared" si="49"/>
        <v>7.4083128444909994</v>
      </c>
      <c r="V75">
        <f t="shared" si="49"/>
        <v>6.485341473773345</v>
      </c>
    </row>
    <row r="76" spans="1:52" x14ac:dyDescent="0.3">
      <c r="A76" s="4"/>
      <c r="B76" s="1"/>
      <c r="C76" s="1"/>
      <c r="D76" s="1"/>
      <c r="E76" s="1"/>
      <c r="F76" s="1"/>
      <c r="G76" s="1"/>
      <c r="H76" s="1"/>
      <c r="I76" s="1"/>
      <c r="J76" s="1"/>
      <c r="M76" s="2" t="s">
        <v>26</v>
      </c>
      <c r="N76">
        <f>(N69-(N68*LN(LN(75/74))))</f>
        <v>68.738401468089634</v>
      </c>
      <c r="O76">
        <f t="shared" ref="O76:V76" si="50">(O69-(O68*LN(LN(75/74))))</f>
        <v>51.496146100793723</v>
      </c>
      <c r="P76">
        <f t="shared" si="50"/>
        <v>51.094227085131855</v>
      </c>
      <c r="Q76">
        <f t="shared" si="50"/>
        <v>41.359519238754132</v>
      </c>
      <c r="R76">
        <f t="shared" si="50"/>
        <v>32.057124270753405</v>
      </c>
      <c r="S76">
        <f t="shared" si="50"/>
        <v>26.299263639154404</v>
      </c>
      <c r="T76">
        <f t="shared" si="50"/>
        <v>11.989931204434301</v>
      </c>
      <c r="U76">
        <f t="shared" si="50"/>
        <v>7.7585377211778743</v>
      </c>
      <c r="V76">
        <f t="shared" si="50"/>
        <v>6.8354964301862111</v>
      </c>
    </row>
    <row r="77" spans="1:52" x14ac:dyDescent="0.3">
      <c r="A77" s="1"/>
      <c r="M77" s="2" t="s">
        <v>27</v>
      </c>
      <c r="N77">
        <f>(N69-(N68*LN(LN(100/99))))</f>
        <v>72.070454763228128</v>
      </c>
      <c r="O77">
        <f t="shared" ref="O77:V77" si="51">(O69-(O68*LN(LN(100/99))))</f>
        <v>53.631993561913418</v>
      </c>
      <c r="P77">
        <f t="shared" si="51"/>
        <v>53.277564515639142</v>
      </c>
      <c r="Q77">
        <f t="shared" si="51"/>
        <v>42.997979394154228</v>
      </c>
      <c r="R77">
        <f t="shared" si="51"/>
        <v>33.148690479734228</v>
      </c>
      <c r="S77">
        <f t="shared" si="51"/>
        <v>27.085652002005126</v>
      </c>
      <c r="T77">
        <f t="shared" si="51"/>
        <v>12.380086132109827</v>
      </c>
      <c r="U77">
        <f t="shared" si="51"/>
        <v>8.006413443845414</v>
      </c>
      <c r="V77">
        <f t="shared" si="51"/>
        <v>7.08332266596803</v>
      </c>
    </row>
    <row r="78" spans="1:52" x14ac:dyDescent="0.3">
      <c r="A78" s="1"/>
    </row>
    <row r="79" spans="1:52" x14ac:dyDescent="0.3">
      <c r="A79" s="1"/>
    </row>
    <row r="80" spans="1:52" x14ac:dyDescent="0.3">
      <c r="A80" s="1"/>
    </row>
    <row r="81" spans="1:1" x14ac:dyDescent="0.3">
      <c r="A81" s="1"/>
    </row>
    <row r="82" spans="1:1" x14ac:dyDescent="0.3">
      <c r="A82" s="1"/>
    </row>
    <row r="83" spans="1:1" x14ac:dyDescent="0.3">
      <c r="A83" s="1"/>
    </row>
    <row r="84" spans="1:1" x14ac:dyDescent="0.3">
      <c r="A84" s="1"/>
    </row>
    <row r="85" spans="1:1" x14ac:dyDescent="0.3">
      <c r="A85" s="1"/>
    </row>
    <row r="86" spans="1:1" x14ac:dyDescent="0.3">
      <c r="A86" s="1"/>
    </row>
    <row r="87" spans="1:1" x14ac:dyDescent="0.3">
      <c r="A87" s="1"/>
    </row>
    <row r="88" spans="1:1" x14ac:dyDescent="0.3">
      <c r="A88" s="1"/>
    </row>
    <row r="89" spans="1:1" x14ac:dyDescent="0.3">
      <c r="A89" s="1"/>
    </row>
    <row r="90" spans="1:1" x14ac:dyDescent="0.3">
      <c r="A90" s="1"/>
    </row>
    <row r="91" spans="1:1" x14ac:dyDescent="0.3">
      <c r="A91" s="1"/>
    </row>
    <row r="92" spans="1:1" x14ac:dyDescent="0.3">
      <c r="A92" s="1"/>
    </row>
    <row r="93" spans="1:1" x14ac:dyDescent="0.3">
      <c r="A93" s="1"/>
    </row>
    <row r="94" spans="1:1" x14ac:dyDescent="0.3">
      <c r="A94" s="1"/>
    </row>
    <row r="95" spans="1:1" x14ac:dyDescent="0.3">
      <c r="A95" s="1"/>
    </row>
    <row r="96" spans="1:1" x14ac:dyDescent="0.3">
      <c r="A96" s="1"/>
    </row>
    <row r="97" spans="1:1" x14ac:dyDescent="0.3">
      <c r="A97" s="1"/>
    </row>
    <row r="98" spans="1:1" x14ac:dyDescent="0.3">
      <c r="A98" s="1"/>
    </row>
    <row r="99" spans="1:1" x14ac:dyDescent="0.3">
      <c r="A99" s="1"/>
    </row>
    <row r="100" spans="1:1" x14ac:dyDescent="0.3">
      <c r="A100" s="1"/>
    </row>
    <row r="101" spans="1:1" x14ac:dyDescent="0.3">
      <c r="A101" s="1"/>
    </row>
    <row r="102" spans="1:1" x14ac:dyDescent="0.3">
      <c r="A102" s="1"/>
    </row>
    <row r="103" spans="1:1" x14ac:dyDescent="0.3">
      <c r="A103" s="1"/>
    </row>
    <row r="104" spans="1:1" x14ac:dyDescent="0.3">
      <c r="A104" s="1"/>
    </row>
    <row r="105" spans="1:1" x14ac:dyDescent="0.3">
      <c r="A105" s="1"/>
    </row>
    <row r="106" spans="1:1" x14ac:dyDescent="0.3">
      <c r="A106" s="1"/>
    </row>
    <row r="107" spans="1:1" x14ac:dyDescent="0.3">
      <c r="A107" s="1"/>
    </row>
    <row r="108" spans="1:1" x14ac:dyDescent="0.3">
      <c r="A108" s="1"/>
    </row>
    <row r="109" spans="1:1" x14ac:dyDescent="0.3">
      <c r="A109" s="1"/>
    </row>
    <row r="110" spans="1:1" x14ac:dyDescent="0.3">
      <c r="A110" s="1"/>
    </row>
    <row r="111" spans="1:1" x14ac:dyDescent="0.3">
      <c r="A111" s="1"/>
    </row>
    <row r="112" spans="1:1" x14ac:dyDescent="0.3">
      <c r="A112" s="1"/>
    </row>
    <row r="113" spans="1:1" x14ac:dyDescent="0.3">
      <c r="A113" s="1"/>
    </row>
    <row r="114" spans="1:1" x14ac:dyDescent="0.3">
      <c r="A114" s="1"/>
    </row>
    <row r="115" spans="1:1" x14ac:dyDescent="0.3">
      <c r="A115" s="1"/>
    </row>
    <row r="116" spans="1:1" x14ac:dyDescent="0.3">
      <c r="A116" s="1"/>
    </row>
    <row r="117" spans="1:1" x14ac:dyDescent="0.3">
      <c r="A117" s="1"/>
    </row>
    <row r="118" spans="1:1" x14ac:dyDescent="0.3">
      <c r="A118" s="1"/>
    </row>
    <row r="119" spans="1:1" x14ac:dyDescent="0.3">
      <c r="A119" s="1"/>
    </row>
    <row r="120" spans="1:1" x14ac:dyDescent="0.3">
      <c r="A120" s="1"/>
    </row>
    <row r="121" spans="1:1" x14ac:dyDescent="0.3">
      <c r="A121" s="1"/>
    </row>
    <row r="122" spans="1:1" x14ac:dyDescent="0.3">
      <c r="A122" s="1"/>
    </row>
    <row r="123" spans="1:1" x14ac:dyDescent="0.3">
      <c r="A123" s="1"/>
    </row>
    <row r="124" spans="1:1" x14ac:dyDescent="0.3">
      <c r="A124" s="1"/>
    </row>
    <row r="125" spans="1:1" x14ac:dyDescent="0.3">
      <c r="A125" s="1"/>
    </row>
    <row r="126" spans="1:1" x14ac:dyDescent="0.3">
      <c r="A126" s="1"/>
    </row>
    <row r="127" spans="1:1" x14ac:dyDescent="0.3">
      <c r="A127" s="1"/>
    </row>
    <row r="128" spans="1:1" x14ac:dyDescent="0.3">
      <c r="A128" s="1"/>
    </row>
    <row r="129" spans="1:1" x14ac:dyDescent="0.3">
      <c r="A129" s="1"/>
    </row>
    <row r="130" spans="1:1" x14ac:dyDescent="0.3">
      <c r="A130" s="1"/>
    </row>
    <row r="131" spans="1:1" x14ac:dyDescent="0.3">
      <c r="A131" s="1"/>
    </row>
    <row r="132" spans="1:1" x14ac:dyDescent="0.3">
      <c r="A132" s="1"/>
    </row>
    <row r="133" spans="1:1" x14ac:dyDescent="0.3">
      <c r="A133" s="1"/>
    </row>
    <row r="134" spans="1:1" x14ac:dyDescent="0.3">
      <c r="A134" s="1"/>
    </row>
    <row r="135" spans="1:1" x14ac:dyDescent="0.3">
      <c r="A135" s="1"/>
    </row>
    <row r="136" spans="1:1" x14ac:dyDescent="0.3">
      <c r="A136" s="1"/>
    </row>
  </sheetData>
  <mergeCells count="21">
    <mergeCell ref="M2:M3"/>
    <mergeCell ref="N2:V2"/>
    <mergeCell ref="C68:E68"/>
    <mergeCell ref="G68:I69"/>
    <mergeCell ref="C69:E69"/>
    <mergeCell ref="A71:B72"/>
    <mergeCell ref="C71:E72"/>
    <mergeCell ref="G71:I72"/>
    <mergeCell ref="A68:B69"/>
    <mergeCell ref="B2:J2"/>
    <mergeCell ref="A2:A3"/>
    <mergeCell ref="AR2:AT4"/>
    <mergeCell ref="AU2:AW4"/>
    <mergeCell ref="AX2:AZ4"/>
    <mergeCell ref="Y4:Y5"/>
    <mergeCell ref="Z2:AB4"/>
    <mergeCell ref="AC2:AE4"/>
    <mergeCell ref="AF2:AH4"/>
    <mergeCell ref="AI2:AK4"/>
    <mergeCell ref="AL2:AN4"/>
    <mergeCell ref="AO2:AQ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AK80"/>
  <sheetViews>
    <sheetView zoomScale="29" zoomScaleNormal="100" workbookViewId="0">
      <selection activeCell="AF21" sqref="AF21"/>
    </sheetView>
  </sheetViews>
  <sheetFormatPr defaultRowHeight="14.4" x14ac:dyDescent="0.3"/>
  <cols>
    <col min="4" max="4" width="8.109375" customWidth="1"/>
    <col min="5" max="5" width="14.88671875" bestFit="1" customWidth="1"/>
    <col min="7" max="7" width="10" bestFit="1" customWidth="1"/>
    <col min="8" max="8" width="12.33203125" bestFit="1" customWidth="1"/>
    <col min="10" max="10" width="10" bestFit="1" customWidth="1"/>
    <col min="11" max="11" width="10.5546875" customWidth="1"/>
    <col min="13" max="13" width="10" bestFit="1" customWidth="1"/>
    <col min="14" max="14" width="12.33203125" bestFit="1" customWidth="1"/>
    <col min="16" max="16" width="10" bestFit="1" customWidth="1"/>
    <col min="17" max="17" width="12.33203125" bestFit="1" customWidth="1"/>
    <col min="19" max="19" width="10" bestFit="1" customWidth="1"/>
    <col min="20" max="20" width="12.33203125" bestFit="1" customWidth="1"/>
    <col min="22" max="22" width="10" bestFit="1" customWidth="1"/>
    <col min="23" max="23" width="12.33203125" bestFit="1" customWidth="1"/>
    <col min="25" max="25" width="10" bestFit="1" customWidth="1"/>
    <col min="26" max="26" width="11.33203125" bestFit="1" customWidth="1"/>
    <col min="28" max="28" width="10" bestFit="1" customWidth="1"/>
    <col min="29" max="29" width="12.33203125" bestFit="1" customWidth="1"/>
  </cols>
  <sheetData>
    <row r="1" spans="2:37" ht="15" thickBot="1" x14ac:dyDescent="0.35"/>
    <row r="2" spans="2:37" ht="15" thickBot="1" x14ac:dyDescent="0.35">
      <c r="B2" s="168" t="s">
        <v>0</v>
      </c>
      <c r="C2" s="176" t="s">
        <v>53</v>
      </c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7"/>
      <c r="AD2" s="4"/>
      <c r="AE2" s="4"/>
      <c r="AF2" s="4"/>
      <c r="AG2" s="4"/>
      <c r="AH2" s="4"/>
      <c r="AI2" s="4"/>
      <c r="AJ2" s="4"/>
      <c r="AK2" s="4"/>
    </row>
    <row r="3" spans="2:37" ht="15" thickBot="1" x14ac:dyDescent="0.35">
      <c r="B3" s="162"/>
      <c r="C3" s="170" t="s">
        <v>1</v>
      </c>
      <c r="D3" s="171"/>
      <c r="E3" s="172"/>
      <c r="F3" s="170" t="s">
        <v>2</v>
      </c>
      <c r="G3" s="171"/>
      <c r="H3" s="172"/>
      <c r="I3" s="170" t="s">
        <v>3</v>
      </c>
      <c r="J3" s="171"/>
      <c r="K3" s="172"/>
      <c r="L3" s="170" t="s">
        <v>4</v>
      </c>
      <c r="M3" s="171"/>
      <c r="N3" s="172"/>
      <c r="O3" s="170" t="s">
        <v>5</v>
      </c>
      <c r="P3" s="171"/>
      <c r="Q3" s="172"/>
      <c r="R3" s="170" t="s">
        <v>6</v>
      </c>
      <c r="S3" s="171"/>
      <c r="T3" s="172"/>
      <c r="U3" s="170" t="s">
        <v>7</v>
      </c>
      <c r="V3" s="171"/>
      <c r="W3" s="172"/>
      <c r="X3" s="170" t="s">
        <v>8</v>
      </c>
      <c r="Y3" s="171"/>
      <c r="Z3" s="172"/>
      <c r="AA3" s="173" t="s">
        <v>9</v>
      </c>
      <c r="AB3" s="174"/>
      <c r="AC3" s="175"/>
      <c r="AD3" s="1"/>
      <c r="AE3" s="1"/>
      <c r="AF3" s="1"/>
      <c r="AG3" s="1"/>
      <c r="AH3" s="1"/>
      <c r="AI3" s="1"/>
      <c r="AJ3" s="1"/>
      <c r="AK3" s="1"/>
    </row>
    <row r="4" spans="2:37" ht="15" thickBot="1" x14ac:dyDescent="0.35">
      <c r="B4" s="169"/>
      <c r="C4" s="36" t="s">
        <v>36</v>
      </c>
      <c r="D4" s="37" t="s">
        <v>47</v>
      </c>
      <c r="E4" s="38" t="s">
        <v>37</v>
      </c>
      <c r="F4" s="36" t="s">
        <v>36</v>
      </c>
      <c r="G4" s="37" t="s">
        <v>47</v>
      </c>
      <c r="H4" s="38" t="s">
        <v>37</v>
      </c>
      <c r="I4" s="36" t="s">
        <v>36</v>
      </c>
      <c r="J4" s="37" t="s">
        <v>47</v>
      </c>
      <c r="K4" s="38" t="s">
        <v>37</v>
      </c>
      <c r="L4" s="36" t="s">
        <v>36</v>
      </c>
      <c r="M4" s="37" t="s">
        <v>47</v>
      </c>
      <c r="N4" s="38" t="s">
        <v>37</v>
      </c>
      <c r="O4" s="36" t="s">
        <v>36</v>
      </c>
      <c r="P4" s="37" t="s">
        <v>47</v>
      </c>
      <c r="Q4" s="38" t="s">
        <v>37</v>
      </c>
      <c r="R4" s="36" t="s">
        <v>36</v>
      </c>
      <c r="S4" s="37" t="s">
        <v>47</v>
      </c>
      <c r="T4" s="38" t="s">
        <v>37</v>
      </c>
      <c r="U4" s="36" t="s">
        <v>36</v>
      </c>
      <c r="V4" s="37" t="s">
        <v>47</v>
      </c>
      <c r="W4" s="38" t="s">
        <v>37</v>
      </c>
      <c r="X4" s="36" t="s">
        <v>36</v>
      </c>
      <c r="Y4" s="37" t="s">
        <v>47</v>
      </c>
      <c r="Z4" s="38" t="s">
        <v>37</v>
      </c>
      <c r="AA4" s="39" t="s">
        <v>36</v>
      </c>
      <c r="AB4" s="40" t="s">
        <v>47</v>
      </c>
      <c r="AC4" s="41" t="s">
        <v>37</v>
      </c>
      <c r="AD4" s="1"/>
      <c r="AE4" s="1"/>
      <c r="AF4" s="1"/>
      <c r="AG4" s="1"/>
      <c r="AH4" s="1"/>
      <c r="AI4" s="1"/>
      <c r="AJ4" s="1"/>
      <c r="AK4" s="1"/>
    </row>
    <row r="5" spans="2:37" x14ac:dyDescent="0.3">
      <c r="B5" s="21">
        <v>1961</v>
      </c>
      <c r="C5" s="78">
        <v>50.16</v>
      </c>
      <c r="D5" s="78">
        <f t="shared" ref="D5:D36" si="0">LN(C5)</f>
        <v>3.9152178963246653</v>
      </c>
      <c r="E5" s="79">
        <f>_xlfn.LOGNORM.DIST(C5,D$67,D$68,0)</f>
        <v>5.2721498910079561E-3</v>
      </c>
      <c r="F5" s="80">
        <v>30.78</v>
      </c>
      <c r="G5" s="78">
        <f t="shared" ref="G5:G36" si="1">LN(F5)</f>
        <v>3.426865128410733</v>
      </c>
      <c r="H5" s="79">
        <f>_xlfn.LOGNORM.DIST(F5,G$67,G$68,0)</f>
        <v>2.2778972203451531E-2</v>
      </c>
      <c r="I5" s="80">
        <v>24.88</v>
      </c>
      <c r="J5" s="78">
        <f t="shared" ref="J5:J36" si="2">LN(I5)</f>
        <v>3.2140642678709788</v>
      </c>
      <c r="K5" s="79">
        <f>_xlfn.LOGNORM.DIST(I5,J$67,J$68,0)</f>
        <v>3.3219153809474572E-2</v>
      </c>
      <c r="L5" s="80">
        <v>16.52</v>
      </c>
      <c r="M5" s="78">
        <f t="shared" ref="M5:M36" si="3">LN(L5)</f>
        <v>2.8045717680928322</v>
      </c>
      <c r="N5" s="79">
        <f>_xlfn.LOGNORM.DIST(L5,M$67,M$68,0)</f>
        <v>6.5403445431720761E-2</v>
      </c>
      <c r="O5" s="80">
        <v>17.34</v>
      </c>
      <c r="P5" s="78">
        <f t="shared" ref="P5:P36" si="4">LN(O5)</f>
        <v>2.8530159713523959</v>
      </c>
      <c r="Q5" s="79">
        <f>_xlfn.LOGNORM.DIST(O5,P$67,P$68,0)</f>
        <v>9.2686666656018366E-2</v>
      </c>
      <c r="R5" s="80">
        <v>15.63</v>
      </c>
      <c r="S5" s="78">
        <f t="shared" ref="S5:S36" si="5">LN(R5)</f>
        <v>2.7491921444333851</v>
      </c>
      <c r="T5" s="79">
        <f>_xlfn.LOGNORM.DIST(R5,S$67,S$68,0)</f>
        <v>0.11564668756877722</v>
      </c>
      <c r="U5" s="80">
        <v>6.06</v>
      </c>
      <c r="V5" s="78">
        <f t="shared" ref="V5:V36" si="6">LN(U5)</f>
        <v>1.8017098000812231</v>
      </c>
      <c r="W5" s="79">
        <f>_xlfn.LOGNORM.DIST(U5,V$67,V$68,0)</f>
        <v>0.25062001128932904</v>
      </c>
      <c r="X5" s="80">
        <v>5.31</v>
      </c>
      <c r="Y5" s="78">
        <f t="shared" ref="Y5:Y36" si="7">LN(X5)</f>
        <v>1.6695918352538475</v>
      </c>
      <c r="Z5" s="79">
        <f>_xlfn.LOGNORM.DIST(X5,Y$67,Y$68,0)</f>
        <v>0.23547137987588743</v>
      </c>
      <c r="AA5" s="80">
        <v>4.2308333333333339</v>
      </c>
      <c r="AB5" s="78">
        <f t="shared" ref="AB5:AB36" si="8">LN(AA5)</f>
        <v>1.4423989791713028</v>
      </c>
      <c r="AC5" s="79">
        <f>_xlfn.LOGNORM.DIST(AA5,AB$67,AB$68,0)</f>
        <v>0.25810882912658856</v>
      </c>
    </row>
    <row r="6" spans="2:37" x14ac:dyDescent="0.3">
      <c r="B6" s="21">
        <v>1962</v>
      </c>
      <c r="C6" s="78">
        <v>16.919999999999998</v>
      </c>
      <c r="D6" s="78">
        <f t="shared" si="0"/>
        <v>2.828496354178077</v>
      </c>
      <c r="E6" s="79">
        <f t="shared" ref="E6:E64" si="9">_xlfn.LOGNORM.DIST(C6,D$67,D$68,0)</f>
        <v>3.2955022795659941E-2</v>
      </c>
      <c r="F6" s="80">
        <v>24</v>
      </c>
      <c r="G6" s="78">
        <f t="shared" si="1"/>
        <v>3.1780538303479458</v>
      </c>
      <c r="H6" s="79">
        <f t="shared" ref="H6:H64" si="10">_xlfn.LOGNORM.DIST(F6,G$67,G$68,0)</f>
        <v>3.9561849365174512E-2</v>
      </c>
      <c r="I6" s="80">
        <v>32.68</v>
      </c>
      <c r="J6" s="78">
        <f t="shared" si="2"/>
        <v>3.4867632699918021</v>
      </c>
      <c r="K6" s="79">
        <f t="shared" ref="K6:K64" si="11">_xlfn.LOGNORM.DIST(I6,J$67,J$68,0)</f>
        <v>1.6555202850749007E-2</v>
      </c>
      <c r="L6" s="80">
        <v>34.380000000000003</v>
      </c>
      <c r="M6" s="78">
        <f t="shared" si="3"/>
        <v>3.5374749999547035</v>
      </c>
      <c r="N6" s="79">
        <f t="shared" ref="N6:N64" si="12">_xlfn.LOGNORM.DIST(L6,M$67,M$68,0)</f>
        <v>7.4882688956746041E-3</v>
      </c>
      <c r="O6" s="80">
        <v>16.75</v>
      </c>
      <c r="P6" s="78">
        <f t="shared" si="4"/>
        <v>2.8183982582710754</v>
      </c>
      <c r="Q6" s="79">
        <f t="shared" ref="Q6:Q64" si="13">_xlfn.LOGNORM.DIST(O6,P$67,P$68,0)</f>
        <v>9.4802461185377135E-2</v>
      </c>
      <c r="R6" s="80">
        <v>10.605</v>
      </c>
      <c r="S6" s="78">
        <f t="shared" si="5"/>
        <v>2.3613255880166459</v>
      </c>
      <c r="T6" s="79">
        <f t="shared" ref="T6:T64" si="14">_xlfn.LOGNORM.DIST(R6,S$67,S$68,0)</f>
        <v>3.3644656378613122E-2</v>
      </c>
      <c r="U6" s="80">
        <v>7.4816666666666665</v>
      </c>
      <c r="V6" s="78">
        <f t="shared" si="6"/>
        <v>2.0124555835657856</v>
      </c>
      <c r="W6" s="79">
        <f t="shared" ref="W6:W64" si="15">_xlfn.LOGNORM.DIST(U6,V$67,V$68,0)</f>
        <v>0.20640911363844461</v>
      </c>
      <c r="X6" s="80">
        <v>4.0633333333333335</v>
      </c>
      <c r="Y6" s="78">
        <f t="shared" si="7"/>
        <v>1.4020036548250705</v>
      </c>
      <c r="Z6" s="79">
        <f t="shared" ref="Z6:Z64" si="16">_xlfn.LOGNORM.DIST(X6,Y$67,Y$68,0)</f>
        <v>0.38183995903446549</v>
      </c>
      <c r="AA6" s="80">
        <v>6.1191666666666675</v>
      </c>
      <c r="AB6" s="78">
        <f t="shared" si="8"/>
        <v>1.8114259216755189</v>
      </c>
      <c r="AC6" s="79">
        <f t="shared" ref="AC6:AC64" si="17">_xlfn.LOGNORM.DIST(AA6,AB$67,AB$68,0)</f>
        <v>3.5502932226514017E-2</v>
      </c>
    </row>
    <row r="7" spans="2:37" x14ac:dyDescent="0.3">
      <c r="B7" s="21">
        <v>1963</v>
      </c>
      <c r="C7" s="78">
        <v>29.04</v>
      </c>
      <c r="D7" s="78">
        <f t="shared" si="0"/>
        <v>3.3686741899565953</v>
      </c>
      <c r="E7" s="79">
        <f t="shared" si="9"/>
        <v>1.83255501296587E-2</v>
      </c>
      <c r="F7" s="80">
        <v>43.38</v>
      </c>
      <c r="G7" s="78">
        <f t="shared" si="1"/>
        <v>3.7699985053987284</v>
      </c>
      <c r="H7" s="79">
        <f t="shared" si="10"/>
        <v>5.8464333746084058E-3</v>
      </c>
      <c r="I7" s="80">
        <v>21.4</v>
      </c>
      <c r="J7" s="78">
        <f t="shared" si="2"/>
        <v>3.0633909220278057</v>
      </c>
      <c r="K7" s="79">
        <f t="shared" si="11"/>
        <v>4.1617058136014413E-2</v>
      </c>
      <c r="L7" s="80">
        <v>18</v>
      </c>
      <c r="M7" s="78">
        <f t="shared" si="3"/>
        <v>2.8903717578961645</v>
      </c>
      <c r="N7" s="79">
        <f t="shared" si="12"/>
        <v>6.4823757620678685E-2</v>
      </c>
      <c r="O7" s="80">
        <v>22.34</v>
      </c>
      <c r="P7" s="78">
        <f t="shared" si="4"/>
        <v>3.1063787936410545</v>
      </c>
      <c r="Q7" s="79">
        <f t="shared" si="13"/>
        <v>4.3457226489545558E-2</v>
      </c>
      <c r="R7" s="80">
        <v>23.295000000000002</v>
      </c>
      <c r="S7" s="78">
        <f t="shared" si="5"/>
        <v>3.1482387452687601</v>
      </c>
      <c r="T7" s="79">
        <f t="shared" si="14"/>
        <v>1.6308509945841692E-2</v>
      </c>
      <c r="U7" s="80">
        <v>5.25</v>
      </c>
      <c r="V7" s="78">
        <f t="shared" si="6"/>
        <v>1.6582280766035324</v>
      </c>
      <c r="W7" s="79">
        <f t="shared" si="15"/>
        <v>0.1810094198797815</v>
      </c>
      <c r="X7" s="80">
        <v>5.7891666666666666</v>
      </c>
      <c r="Y7" s="78">
        <f t="shared" si="7"/>
        <v>1.7559883549167892</v>
      </c>
      <c r="Z7" s="79">
        <f t="shared" si="16"/>
        <v>0.15477999041129337</v>
      </c>
      <c r="AA7" s="80">
        <v>4.4012500000000001</v>
      </c>
      <c r="AB7" s="78">
        <f t="shared" si="8"/>
        <v>1.4818885914871252</v>
      </c>
      <c r="AC7" s="79">
        <f t="shared" si="17"/>
        <v>0.22505932292496852</v>
      </c>
    </row>
    <row r="8" spans="2:37" x14ac:dyDescent="0.3">
      <c r="B8" s="21">
        <v>1964</v>
      </c>
      <c r="C8" s="78">
        <v>18.72</v>
      </c>
      <c r="D8" s="78">
        <f t="shared" si="0"/>
        <v>2.9295924710494461</v>
      </c>
      <c r="E8" s="79">
        <f t="shared" si="9"/>
        <v>3.1001913125928718E-2</v>
      </c>
      <c r="F8" s="80">
        <v>34.200000000000003</v>
      </c>
      <c r="G8" s="78">
        <f t="shared" si="1"/>
        <v>3.5322256440685598</v>
      </c>
      <c r="H8" s="79">
        <f t="shared" si="10"/>
        <v>1.6152679578444913E-2</v>
      </c>
      <c r="I8" s="80">
        <v>10.84</v>
      </c>
      <c r="J8" s="78">
        <f t="shared" si="2"/>
        <v>2.3832429960115</v>
      </c>
      <c r="K8" s="79">
        <f t="shared" si="11"/>
        <v>2.8044563566841756E-2</v>
      </c>
      <c r="L8" s="80">
        <v>18.22</v>
      </c>
      <c r="M8" s="78">
        <f t="shared" si="3"/>
        <v>2.9025198918318122</v>
      </c>
      <c r="N8" s="79">
        <f t="shared" si="12"/>
        <v>6.4403310707433312E-2</v>
      </c>
      <c r="O8" s="80">
        <v>14.89</v>
      </c>
      <c r="P8" s="78">
        <f t="shared" si="4"/>
        <v>2.7006898466959175</v>
      </c>
      <c r="Q8" s="79">
        <f t="shared" si="13"/>
        <v>8.8499817563259073E-2</v>
      </c>
      <c r="R8" s="80">
        <v>12.525</v>
      </c>
      <c r="S8" s="78">
        <f t="shared" si="5"/>
        <v>2.5277266469709283</v>
      </c>
      <c r="T8" s="79">
        <f t="shared" si="14"/>
        <v>8.3472520936410471E-2</v>
      </c>
      <c r="U8" s="80">
        <v>8.4133333333333322</v>
      </c>
      <c r="V8" s="78">
        <f t="shared" si="6"/>
        <v>2.1298177490049026</v>
      </c>
      <c r="W8" s="79">
        <f t="shared" si="15"/>
        <v>0.13099255969775231</v>
      </c>
      <c r="X8" s="80">
        <v>5.12</v>
      </c>
      <c r="Y8" s="78">
        <f t="shared" si="7"/>
        <v>1.6331544390514163</v>
      </c>
      <c r="Z8" s="79">
        <f t="shared" si="16"/>
        <v>0.27042217619131775</v>
      </c>
      <c r="AA8" s="80">
        <v>4.5491666666666672</v>
      </c>
      <c r="AB8" s="78">
        <f t="shared" si="8"/>
        <v>1.5149440660056661</v>
      </c>
      <c r="AC8" s="79">
        <f t="shared" si="17"/>
        <v>0.1979079021632712</v>
      </c>
    </row>
    <row r="9" spans="2:37" x14ac:dyDescent="0.3">
      <c r="B9" s="21">
        <v>1965</v>
      </c>
      <c r="C9" s="78">
        <v>24.599999999999998</v>
      </c>
      <c r="D9" s="78">
        <f t="shared" si="0"/>
        <v>3.202746442938317</v>
      </c>
      <c r="E9" s="79">
        <f t="shared" si="9"/>
        <v>2.3493840619276101E-2</v>
      </c>
      <c r="F9" s="80">
        <v>16.14</v>
      </c>
      <c r="G9" s="78">
        <f t="shared" si="1"/>
        <v>2.7813006628418027</v>
      </c>
      <c r="H9" s="79">
        <f t="shared" si="10"/>
        <v>4.4842228952785321E-2</v>
      </c>
      <c r="I9" s="80">
        <v>25.12</v>
      </c>
      <c r="J9" s="78">
        <f t="shared" si="2"/>
        <v>3.2236643415999979</v>
      </c>
      <c r="K9" s="79">
        <f t="shared" si="11"/>
        <v>3.2619865230930196E-2</v>
      </c>
      <c r="L9" s="80">
        <v>15.04</v>
      </c>
      <c r="M9" s="78">
        <f t="shared" si="3"/>
        <v>2.7107133185216936</v>
      </c>
      <c r="N9" s="79">
        <f t="shared" si="12"/>
        <v>6.131114285962655E-2</v>
      </c>
      <c r="O9" s="80">
        <v>16.64</v>
      </c>
      <c r="P9" s="78">
        <f t="shared" si="4"/>
        <v>2.8118094353930627</v>
      </c>
      <c r="Q9" s="79">
        <f t="shared" si="13"/>
        <v>9.5001003944950022E-2</v>
      </c>
      <c r="R9" s="80">
        <v>14.095000000000001</v>
      </c>
      <c r="S9" s="78">
        <f t="shared" si="5"/>
        <v>2.6458201245660757</v>
      </c>
      <c r="T9" s="79">
        <f t="shared" si="14"/>
        <v>0.11260646230448379</v>
      </c>
      <c r="U9" s="80">
        <v>5.4016666666666664</v>
      </c>
      <c r="V9" s="78">
        <f t="shared" si="6"/>
        <v>1.686707547925401</v>
      </c>
      <c r="W9" s="79">
        <f t="shared" si="15"/>
        <v>0.19886337262197584</v>
      </c>
      <c r="X9" s="80">
        <v>5.2774999999999999</v>
      </c>
      <c r="Y9" s="78">
        <f t="shared" si="7"/>
        <v>1.6634525007403387</v>
      </c>
      <c r="Z9" s="79">
        <f t="shared" si="16"/>
        <v>0.24141325278737077</v>
      </c>
      <c r="AA9" s="80">
        <v>1.9358333333333333</v>
      </c>
      <c r="AB9" s="78">
        <f t="shared" si="8"/>
        <v>0.66053789699431742</v>
      </c>
      <c r="AC9" s="79">
        <f t="shared" si="17"/>
        <v>9.4820467985924375E-2</v>
      </c>
    </row>
    <row r="10" spans="2:37" x14ac:dyDescent="0.3">
      <c r="B10" s="21">
        <v>1966</v>
      </c>
      <c r="C10" s="78">
        <v>23.16</v>
      </c>
      <c r="D10" s="78">
        <f t="shared" si="0"/>
        <v>3.1424266527047946</v>
      </c>
      <c r="E10" s="79">
        <f t="shared" si="9"/>
        <v>2.5332067853532078E-2</v>
      </c>
      <c r="F10" s="80">
        <v>33.839999999999996</v>
      </c>
      <c r="G10" s="78">
        <f t="shared" si="1"/>
        <v>3.5216435347380224</v>
      </c>
      <c r="H10" s="79">
        <f t="shared" si="10"/>
        <v>1.6769600448766027E-2</v>
      </c>
      <c r="I10" s="80">
        <v>22.4</v>
      </c>
      <c r="J10" s="78">
        <f t="shared" si="2"/>
        <v>3.1090609588609941</v>
      </c>
      <c r="K10" s="79">
        <f t="shared" si="11"/>
        <v>3.9337517176488486E-2</v>
      </c>
      <c r="L10" s="80">
        <v>20.239999999999998</v>
      </c>
      <c r="M10" s="78">
        <f t="shared" si="3"/>
        <v>3.0076608444192647</v>
      </c>
      <c r="N10" s="79">
        <f t="shared" si="12"/>
        <v>5.7654658144739739E-2</v>
      </c>
      <c r="O10" s="80">
        <v>15.63</v>
      </c>
      <c r="P10" s="78">
        <f t="shared" si="4"/>
        <v>2.7491921444333851</v>
      </c>
      <c r="Q10" s="79">
        <f t="shared" si="13"/>
        <v>9.3559178533490203E-2</v>
      </c>
      <c r="R10" s="80">
        <v>15.324999999999999</v>
      </c>
      <c r="S10" s="78">
        <f t="shared" si="5"/>
        <v>2.7294854818222749</v>
      </c>
      <c r="T10" s="79">
        <f t="shared" si="14"/>
        <v>0.11702830788087741</v>
      </c>
      <c r="U10" s="80">
        <v>6.4050000000000002</v>
      </c>
      <c r="V10" s="78">
        <f t="shared" si="6"/>
        <v>1.8570789353486976</v>
      </c>
      <c r="W10" s="79">
        <f t="shared" si="15"/>
        <v>0.25733836625725592</v>
      </c>
      <c r="X10" s="80">
        <v>5.6083333333333334</v>
      </c>
      <c r="Y10" s="78">
        <f t="shared" si="7"/>
        <v>1.7242535868626818</v>
      </c>
      <c r="Z10" s="79">
        <f t="shared" si="16"/>
        <v>0.18329019221338175</v>
      </c>
      <c r="AA10" s="80">
        <v>3.1754166666666666</v>
      </c>
      <c r="AB10" s="78">
        <f t="shared" si="8"/>
        <v>1.1554388573300804</v>
      </c>
      <c r="AC10" s="79">
        <f t="shared" si="17"/>
        <v>0.40635916716989595</v>
      </c>
    </row>
    <row r="11" spans="2:37" x14ac:dyDescent="0.3">
      <c r="B11" s="21">
        <v>1967</v>
      </c>
      <c r="C11" s="78">
        <v>23.52</v>
      </c>
      <c r="D11" s="78">
        <f t="shared" si="0"/>
        <v>3.1578511230304263</v>
      </c>
      <c r="E11" s="79">
        <f t="shared" si="9"/>
        <v>2.4867653739290715E-2</v>
      </c>
      <c r="F11" s="80">
        <v>44.28</v>
      </c>
      <c r="G11" s="78">
        <f t="shared" si="1"/>
        <v>3.7905331078404361</v>
      </c>
      <c r="H11" s="79">
        <f t="shared" si="10"/>
        <v>5.2721110612093565E-3</v>
      </c>
      <c r="I11" s="80">
        <v>18.12</v>
      </c>
      <c r="J11" s="78">
        <f t="shared" si="2"/>
        <v>2.8970163006148333</v>
      </c>
      <c r="K11" s="79">
        <f t="shared" si="11"/>
        <v>4.6785059119123402E-2</v>
      </c>
      <c r="L11" s="80">
        <v>16.18</v>
      </c>
      <c r="M11" s="78">
        <f t="shared" si="3"/>
        <v>2.7837759116303458</v>
      </c>
      <c r="N11" s="79">
        <f t="shared" si="12"/>
        <v>6.4907186711701759E-2</v>
      </c>
      <c r="O11" s="80">
        <v>14.32</v>
      </c>
      <c r="P11" s="78">
        <f t="shared" si="4"/>
        <v>2.6616571615324998</v>
      </c>
      <c r="Q11" s="79">
        <f t="shared" si="13"/>
        <v>8.231282591763002E-2</v>
      </c>
      <c r="R11" s="80">
        <v>13.965</v>
      </c>
      <c r="S11" s="78">
        <f t="shared" si="5"/>
        <v>2.63655419939714</v>
      </c>
      <c r="T11" s="79">
        <f t="shared" si="14"/>
        <v>0.11113864158030971</v>
      </c>
      <c r="U11" s="80">
        <v>6.3816666666666668</v>
      </c>
      <c r="V11" s="78">
        <f t="shared" si="6"/>
        <v>1.8534292962611483</v>
      </c>
      <c r="W11" s="79">
        <f t="shared" si="15"/>
        <v>0.25732690757781013</v>
      </c>
      <c r="X11" s="80">
        <v>4.9725000000000001</v>
      </c>
      <c r="Y11" s="78">
        <f t="shared" si="7"/>
        <v>1.6039227317459903</v>
      </c>
      <c r="Z11" s="79">
        <f t="shared" si="16"/>
        <v>0.29721965978758119</v>
      </c>
      <c r="AA11" s="80">
        <v>4.2279166666666663</v>
      </c>
      <c r="AB11" s="78">
        <f t="shared" si="8"/>
        <v>1.4417093579430458</v>
      </c>
      <c r="AC11" s="79">
        <f t="shared" si="17"/>
        <v>0.25868570675573582</v>
      </c>
    </row>
    <row r="12" spans="2:37" x14ac:dyDescent="0.3">
      <c r="B12" s="21">
        <v>1968</v>
      </c>
      <c r="C12" s="78">
        <v>24.96</v>
      </c>
      <c r="D12" s="78">
        <f t="shared" si="0"/>
        <v>3.2172745435012269</v>
      </c>
      <c r="E12" s="79">
        <f t="shared" si="9"/>
        <v>2.3043884323163046E-2</v>
      </c>
      <c r="F12" s="80">
        <v>23.22</v>
      </c>
      <c r="G12" s="78">
        <f t="shared" si="1"/>
        <v>3.1450139762697455</v>
      </c>
      <c r="H12" s="79">
        <f t="shared" si="10"/>
        <v>4.1418190775738023E-2</v>
      </c>
      <c r="I12" s="80">
        <v>26.12</v>
      </c>
      <c r="J12" s="78">
        <f t="shared" si="2"/>
        <v>3.2627013044082305</v>
      </c>
      <c r="K12" s="79">
        <f t="shared" si="11"/>
        <v>3.0148912238756379E-2</v>
      </c>
      <c r="L12" s="80">
        <v>20.92</v>
      </c>
      <c r="M12" s="78">
        <f t="shared" si="3"/>
        <v>3.0407056391967222</v>
      </c>
      <c r="N12" s="79">
        <f t="shared" si="12"/>
        <v>5.4573397597746584E-2</v>
      </c>
      <c r="O12" s="80">
        <v>13.32</v>
      </c>
      <c r="P12" s="78">
        <f t="shared" si="4"/>
        <v>2.5892666651122429</v>
      </c>
      <c r="Q12" s="79">
        <f t="shared" si="13"/>
        <v>6.7399929379200196E-2</v>
      </c>
      <c r="R12" s="80">
        <v>19.655000000000001</v>
      </c>
      <c r="S12" s="78">
        <f t="shared" si="5"/>
        <v>2.9783317588738236</v>
      </c>
      <c r="T12" s="79">
        <f t="shared" si="14"/>
        <v>5.6041233312857625E-2</v>
      </c>
      <c r="U12" s="80">
        <v>6.7950000000000008</v>
      </c>
      <c r="V12" s="78">
        <f t="shared" si="6"/>
        <v>1.9161870476031071</v>
      </c>
      <c r="W12" s="79">
        <f t="shared" si="15"/>
        <v>0.2490666571354789</v>
      </c>
      <c r="X12" s="80">
        <v>3.8041666666666667</v>
      </c>
      <c r="Y12" s="78">
        <f t="shared" si="7"/>
        <v>1.3360969572529773</v>
      </c>
      <c r="Z12" s="79">
        <f t="shared" si="16"/>
        <v>0.35591388572092103</v>
      </c>
      <c r="AA12" s="80">
        <v>2.4475000000000002</v>
      </c>
      <c r="AB12" s="78">
        <f t="shared" si="8"/>
        <v>0.89506709542252849</v>
      </c>
      <c r="AC12" s="79">
        <f t="shared" si="17"/>
        <v>0.26902385433566262</v>
      </c>
    </row>
    <row r="13" spans="2:37" x14ac:dyDescent="0.3">
      <c r="B13" s="21">
        <v>1969</v>
      </c>
      <c r="C13" s="78">
        <v>14.76</v>
      </c>
      <c r="D13" s="78">
        <f t="shared" si="0"/>
        <v>2.6919208191723265</v>
      </c>
      <c r="E13" s="79">
        <f t="shared" si="9"/>
        <v>3.4537342709956863E-2</v>
      </c>
      <c r="F13" s="80">
        <v>25.619999999999997</v>
      </c>
      <c r="G13" s="78">
        <f t="shared" si="1"/>
        <v>3.243373296468588</v>
      </c>
      <c r="H13" s="79">
        <f t="shared" si="10"/>
        <v>3.5455297505866464E-2</v>
      </c>
      <c r="I13" s="80">
        <v>9.76</v>
      </c>
      <c r="J13" s="78">
        <f t="shared" si="2"/>
        <v>2.2782924004250011</v>
      </c>
      <c r="K13" s="79">
        <f t="shared" si="11"/>
        <v>2.1477015196530416E-2</v>
      </c>
      <c r="L13" s="80">
        <v>17.440000000000001</v>
      </c>
      <c r="M13" s="78">
        <f t="shared" si="3"/>
        <v>2.8587664184808337</v>
      </c>
      <c r="N13" s="79">
        <f t="shared" si="12"/>
        <v>6.5529740093972888E-2</v>
      </c>
      <c r="O13" s="80">
        <v>20.25</v>
      </c>
      <c r="P13" s="78">
        <f t="shared" si="4"/>
        <v>3.0081547935525483</v>
      </c>
      <c r="Q13" s="79">
        <f t="shared" si="13"/>
        <v>6.5964522476364196E-2</v>
      </c>
      <c r="R13" s="80">
        <v>13.99</v>
      </c>
      <c r="S13" s="78">
        <f t="shared" si="5"/>
        <v>2.6383427886773898</v>
      </c>
      <c r="T13" s="79">
        <f t="shared" si="14"/>
        <v>0.11143579966291614</v>
      </c>
      <c r="U13" s="80">
        <v>6.9433333333333325</v>
      </c>
      <c r="V13" s="78">
        <f t="shared" si="6"/>
        <v>1.9377819666047709</v>
      </c>
      <c r="W13" s="79">
        <f t="shared" si="15"/>
        <v>0.24228045882619667</v>
      </c>
      <c r="X13" s="80">
        <v>4.08</v>
      </c>
      <c r="Y13" s="78">
        <f t="shared" si="7"/>
        <v>1.4060969884160703</v>
      </c>
      <c r="Z13" s="79">
        <f t="shared" si="16"/>
        <v>0.38256545628352645</v>
      </c>
      <c r="AA13" s="80">
        <v>2.6937500000000001</v>
      </c>
      <c r="AB13" s="78">
        <f t="shared" si="8"/>
        <v>0.99093427486992092</v>
      </c>
      <c r="AC13" s="79">
        <f t="shared" si="17"/>
        <v>0.34304786810224414</v>
      </c>
    </row>
    <row r="14" spans="2:37" x14ac:dyDescent="0.3">
      <c r="B14" s="21">
        <v>1970</v>
      </c>
      <c r="C14" s="78">
        <v>17.64</v>
      </c>
      <c r="D14" s="78">
        <f t="shared" si="0"/>
        <v>2.8701690505786455</v>
      </c>
      <c r="E14" s="79">
        <f t="shared" si="9"/>
        <v>3.222294218561074E-2</v>
      </c>
      <c r="F14" s="80">
        <v>35.700000000000003</v>
      </c>
      <c r="G14" s="78">
        <f t="shared" si="1"/>
        <v>3.5751506887855933</v>
      </c>
      <c r="H14" s="79">
        <f t="shared" si="10"/>
        <v>1.378078854393858E-2</v>
      </c>
      <c r="I14" s="80">
        <v>23.44</v>
      </c>
      <c r="J14" s="78">
        <f t="shared" si="2"/>
        <v>3.1544439647088121</v>
      </c>
      <c r="K14" s="79">
        <f t="shared" si="11"/>
        <v>3.6813881705239755E-2</v>
      </c>
      <c r="L14" s="80">
        <v>15.24</v>
      </c>
      <c r="M14" s="78">
        <f t="shared" si="3"/>
        <v>2.7239235502585002</v>
      </c>
      <c r="N14" s="79">
        <f t="shared" si="12"/>
        <v>6.2162586662306396E-2</v>
      </c>
      <c r="O14" s="80">
        <v>18.649999999999999</v>
      </c>
      <c r="P14" s="78">
        <f t="shared" si="4"/>
        <v>2.9258461460898246</v>
      </c>
      <c r="Q14" s="79">
        <f t="shared" si="13"/>
        <v>8.2948435888384672E-2</v>
      </c>
      <c r="R14" s="80">
        <v>12.025</v>
      </c>
      <c r="S14" s="78">
        <f t="shared" si="5"/>
        <v>2.4869878159918248</v>
      </c>
      <c r="T14" s="79">
        <f t="shared" si="14"/>
        <v>7.0435654666795383E-2</v>
      </c>
      <c r="U14" s="80">
        <v>5.1066666666666665</v>
      </c>
      <c r="V14" s="78">
        <f t="shared" si="6"/>
        <v>1.6305468756443355</v>
      </c>
      <c r="W14" s="79">
        <f t="shared" si="15"/>
        <v>0.16289772719327411</v>
      </c>
      <c r="X14" s="80">
        <v>5.1100000000000003</v>
      </c>
      <c r="Y14" s="78">
        <f t="shared" si="7"/>
        <v>1.631199404215613</v>
      </c>
      <c r="Z14" s="79">
        <f t="shared" si="16"/>
        <v>0.27226154761903826</v>
      </c>
      <c r="AA14" s="80">
        <v>3.6966666666666668</v>
      </c>
      <c r="AB14" s="78">
        <f t="shared" si="8"/>
        <v>1.307431512694166</v>
      </c>
      <c r="AC14" s="79">
        <f t="shared" si="17"/>
        <v>0.35978050158209657</v>
      </c>
    </row>
    <row r="15" spans="2:37" x14ac:dyDescent="0.3">
      <c r="B15" s="21">
        <v>1971</v>
      </c>
      <c r="C15" s="78">
        <v>20.88</v>
      </c>
      <c r="D15" s="78">
        <f t="shared" si="0"/>
        <v>3.0387917630144381</v>
      </c>
      <c r="E15" s="79">
        <f t="shared" si="9"/>
        <v>2.8299514087811953E-2</v>
      </c>
      <c r="F15" s="80">
        <v>25.380000000000003</v>
      </c>
      <c r="G15" s="78">
        <f t="shared" si="1"/>
        <v>3.2339614622862416</v>
      </c>
      <c r="H15" s="79">
        <f t="shared" si="10"/>
        <v>3.6075530635226588E-2</v>
      </c>
      <c r="I15" s="80">
        <v>11.08</v>
      </c>
      <c r="J15" s="78">
        <f t="shared" si="2"/>
        <v>2.405141681319138</v>
      </c>
      <c r="K15" s="79">
        <f t="shared" si="11"/>
        <v>2.9445033398890982E-2</v>
      </c>
      <c r="L15" s="80">
        <v>22.14</v>
      </c>
      <c r="M15" s="78">
        <f t="shared" si="3"/>
        <v>3.0973859272804907</v>
      </c>
      <c r="N15" s="79">
        <f t="shared" si="12"/>
        <v>4.8565462665756134E-2</v>
      </c>
      <c r="O15" s="80">
        <v>15.76</v>
      </c>
      <c r="P15" s="78">
        <f t="shared" si="4"/>
        <v>2.7574750844297329</v>
      </c>
      <c r="Q15" s="79">
        <f t="shared" si="13"/>
        <v>9.4091737921288651E-2</v>
      </c>
      <c r="R15" s="80">
        <v>17.914999999999999</v>
      </c>
      <c r="S15" s="78">
        <f t="shared" si="5"/>
        <v>2.885638350756917</v>
      </c>
      <c r="T15" s="79">
        <f t="shared" si="14"/>
        <v>8.5559266045459909E-2</v>
      </c>
      <c r="U15" s="80">
        <v>10.916666666666666</v>
      </c>
      <c r="V15" s="78">
        <f t="shared" si="6"/>
        <v>2.3902906734131513</v>
      </c>
      <c r="W15" s="79">
        <f t="shared" si="15"/>
        <v>1.9688019941784388E-2</v>
      </c>
      <c r="X15" s="80">
        <v>3.7466666666666666</v>
      </c>
      <c r="Y15" s="78">
        <f t="shared" si="7"/>
        <v>1.3208665557974353</v>
      </c>
      <c r="Z15" s="79">
        <f t="shared" si="16"/>
        <v>0.3464688547230978</v>
      </c>
      <c r="AA15" s="80">
        <v>5.2629166666666665</v>
      </c>
      <c r="AB15" s="78">
        <f t="shared" si="8"/>
        <v>1.6606853724379382</v>
      </c>
      <c r="AC15" s="79">
        <f t="shared" si="17"/>
        <v>9.6569065955365629E-2</v>
      </c>
    </row>
    <row r="16" spans="2:37" x14ac:dyDescent="0.3">
      <c r="B16" s="21">
        <v>1972</v>
      </c>
      <c r="C16" s="78">
        <v>24.240000000000002</v>
      </c>
      <c r="D16" s="78">
        <f t="shared" si="0"/>
        <v>3.1880041612011136</v>
      </c>
      <c r="E16" s="79">
        <f t="shared" si="9"/>
        <v>2.3948064010559725E-2</v>
      </c>
      <c r="F16" s="80">
        <v>17.52</v>
      </c>
      <c r="G16" s="78">
        <f t="shared" si="1"/>
        <v>2.8633430855082453</v>
      </c>
      <c r="H16" s="79">
        <f t="shared" si="10"/>
        <v>4.7150750867022022E-2</v>
      </c>
      <c r="I16" s="80">
        <v>28.36</v>
      </c>
      <c r="J16" s="78">
        <f t="shared" si="2"/>
        <v>3.3449797016639269</v>
      </c>
      <c r="K16" s="79">
        <f t="shared" si="11"/>
        <v>2.4907670781978693E-2</v>
      </c>
      <c r="L16" s="80">
        <v>28.76</v>
      </c>
      <c r="M16" s="78">
        <f t="shared" si="3"/>
        <v>3.358985532852846</v>
      </c>
      <c r="N16" s="79">
        <f t="shared" si="12"/>
        <v>1.963818977385641E-2</v>
      </c>
      <c r="O16" s="80">
        <v>12.56</v>
      </c>
      <c r="P16" s="78">
        <f t="shared" si="4"/>
        <v>2.5305171610400525</v>
      </c>
      <c r="Q16" s="79">
        <f t="shared" si="13"/>
        <v>5.3833097348584498E-2</v>
      </c>
      <c r="R16" s="80">
        <v>9.61</v>
      </c>
      <c r="S16" s="78">
        <f t="shared" si="5"/>
        <v>2.2628042229822012</v>
      </c>
      <c r="T16" s="79">
        <f t="shared" si="14"/>
        <v>1.5021155305092994E-2</v>
      </c>
      <c r="U16" s="80">
        <v>5.4899999999999993</v>
      </c>
      <c r="V16" s="78">
        <f t="shared" si="6"/>
        <v>1.7029282555214391</v>
      </c>
      <c r="W16" s="79">
        <f t="shared" si="15"/>
        <v>0.20844365081116306</v>
      </c>
      <c r="X16" s="80">
        <v>3.76</v>
      </c>
      <c r="Y16" s="78">
        <f t="shared" si="7"/>
        <v>1.324418957401803</v>
      </c>
      <c r="Z16" s="79">
        <f t="shared" si="16"/>
        <v>0.34877383356202363</v>
      </c>
      <c r="AA16" s="80">
        <v>3.5966666666666662</v>
      </c>
      <c r="AB16" s="78">
        <f t="shared" si="8"/>
        <v>1.2800074906019334</v>
      </c>
      <c r="AC16" s="79">
        <f t="shared" si="17"/>
        <v>0.37510971642388813</v>
      </c>
    </row>
    <row r="17" spans="2:29" x14ac:dyDescent="0.3">
      <c r="B17" s="21">
        <v>1973</v>
      </c>
      <c r="C17" s="78">
        <v>9.9599999999999991</v>
      </c>
      <c r="D17" s="78">
        <f t="shared" si="0"/>
        <v>2.2985770715965068</v>
      </c>
      <c r="E17" s="79">
        <f t="shared" si="9"/>
        <v>3.1445587259315691E-2</v>
      </c>
      <c r="F17" s="80">
        <v>30</v>
      </c>
      <c r="G17" s="78">
        <f t="shared" si="1"/>
        <v>3.4011973816621555</v>
      </c>
      <c r="H17" s="79">
        <f t="shared" si="10"/>
        <v>2.4524401937590284E-2</v>
      </c>
      <c r="I17" s="80">
        <v>19.399999999999999</v>
      </c>
      <c r="J17" s="78">
        <f t="shared" si="2"/>
        <v>2.9652730660692823</v>
      </c>
      <c r="K17" s="79">
        <f t="shared" si="11"/>
        <v>4.5343981685425423E-2</v>
      </c>
      <c r="L17" s="80">
        <v>18.34</v>
      </c>
      <c r="M17" s="78">
        <f t="shared" si="3"/>
        <v>2.9090844668283187</v>
      </c>
      <c r="N17" s="79">
        <f t="shared" si="12"/>
        <v>6.4142494847879941E-2</v>
      </c>
      <c r="O17" s="80">
        <v>19.05</v>
      </c>
      <c r="P17" s="78">
        <f t="shared" si="4"/>
        <v>2.9470671015727099</v>
      </c>
      <c r="Q17" s="79">
        <f t="shared" si="13"/>
        <v>7.9017885475123409E-2</v>
      </c>
      <c r="R17" s="80">
        <v>15.74</v>
      </c>
      <c r="S17" s="78">
        <f t="shared" si="5"/>
        <v>2.7562052429892572</v>
      </c>
      <c r="T17" s="79">
        <f t="shared" si="14"/>
        <v>0.11493725406892444</v>
      </c>
      <c r="U17" s="80">
        <v>7.1966666666666663</v>
      </c>
      <c r="V17" s="78">
        <f t="shared" si="6"/>
        <v>1.9736179558586062</v>
      </c>
      <c r="W17" s="79">
        <f t="shared" si="15"/>
        <v>0.22717650072603179</v>
      </c>
      <c r="X17" s="80">
        <v>4.8866666666666667</v>
      </c>
      <c r="Y17" s="78">
        <f t="shared" si="7"/>
        <v>1.5865104077903958</v>
      </c>
      <c r="Z17" s="79">
        <f t="shared" si="16"/>
        <v>0.31223509059869925</v>
      </c>
      <c r="AA17" s="80">
        <v>3.3479166666666664</v>
      </c>
      <c r="AB17" s="78">
        <f t="shared" si="8"/>
        <v>1.2083382618355758</v>
      </c>
      <c r="AC17" s="79">
        <f t="shared" si="17"/>
        <v>0.40149065645411014</v>
      </c>
    </row>
    <row r="18" spans="2:29" x14ac:dyDescent="0.3">
      <c r="B18" s="21">
        <v>1974</v>
      </c>
      <c r="C18" s="78">
        <v>35.880000000000003</v>
      </c>
      <c r="D18" s="78">
        <f t="shared" si="0"/>
        <v>3.5801800371905954</v>
      </c>
      <c r="E18" s="79">
        <f t="shared" si="9"/>
        <v>1.223089257626144E-2</v>
      </c>
      <c r="F18" s="80">
        <v>18.240000000000002</v>
      </c>
      <c r="G18" s="78">
        <f t="shared" si="1"/>
        <v>2.9036169846461855</v>
      </c>
      <c r="H18" s="79">
        <f t="shared" si="10"/>
        <v>4.7630438433842834E-2</v>
      </c>
      <c r="I18" s="80">
        <v>36.840000000000003</v>
      </c>
      <c r="J18" s="78">
        <f t="shared" si="2"/>
        <v>3.6065842113871063</v>
      </c>
      <c r="K18" s="79">
        <f t="shared" si="11"/>
        <v>1.0839182769061534E-2</v>
      </c>
      <c r="L18" s="80">
        <v>15.06</v>
      </c>
      <c r="M18" s="78">
        <f t="shared" si="3"/>
        <v>2.7120422223717475</v>
      </c>
      <c r="N18" s="79">
        <f t="shared" si="12"/>
        <v>6.1400539457684936E-2</v>
      </c>
      <c r="O18" s="80">
        <v>18.66</v>
      </c>
      <c r="P18" s="78">
        <f t="shared" si="4"/>
        <v>2.926382195419198</v>
      </c>
      <c r="Q18" s="79">
        <f t="shared" si="13"/>
        <v>8.2854238465261479E-2</v>
      </c>
      <c r="R18" s="80">
        <v>15.385</v>
      </c>
      <c r="S18" s="78">
        <f t="shared" si="5"/>
        <v>2.733393008774005</v>
      </c>
      <c r="T18" s="79">
        <f t="shared" si="14"/>
        <v>0.11682719217831948</v>
      </c>
      <c r="U18" s="80">
        <v>8.1416666666666675</v>
      </c>
      <c r="V18" s="78">
        <f t="shared" si="6"/>
        <v>2.096994909260737</v>
      </c>
      <c r="W18" s="79">
        <f t="shared" si="15"/>
        <v>0.15251931229932489</v>
      </c>
      <c r="X18" s="80">
        <v>5.1749999999999998</v>
      </c>
      <c r="Y18" s="78">
        <f t="shared" si="7"/>
        <v>1.6438393391514328</v>
      </c>
      <c r="Z18" s="79">
        <f t="shared" si="16"/>
        <v>0.26028371107389325</v>
      </c>
      <c r="AA18" s="80">
        <v>2.5508333333333333</v>
      </c>
      <c r="AB18" s="78">
        <f t="shared" si="8"/>
        <v>0.93642010316932078</v>
      </c>
      <c r="AC18" s="79">
        <f t="shared" si="17"/>
        <v>0.3026837425140691</v>
      </c>
    </row>
    <row r="19" spans="2:29" x14ac:dyDescent="0.3">
      <c r="B19" s="21">
        <v>1975</v>
      </c>
      <c r="C19" s="78">
        <v>63.239999999999995</v>
      </c>
      <c r="D19" s="78">
        <f t="shared" si="0"/>
        <v>4.1469370123412714</v>
      </c>
      <c r="E19" s="79">
        <f t="shared" si="9"/>
        <v>2.5503583864753508E-3</v>
      </c>
      <c r="F19" s="80">
        <v>27.660000000000004</v>
      </c>
      <c r="G19" s="78">
        <f t="shared" si="1"/>
        <v>3.3199873262366122</v>
      </c>
      <c r="H19" s="79">
        <f t="shared" si="10"/>
        <v>3.0195031033401026E-2</v>
      </c>
      <c r="I19" s="80">
        <v>26.24</v>
      </c>
      <c r="J19" s="78">
        <f t="shared" si="2"/>
        <v>3.2672849640758881</v>
      </c>
      <c r="K19" s="79">
        <f t="shared" si="11"/>
        <v>2.9856418449264052E-2</v>
      </c>
      <c r="L19" s="80">
        <v>11.44</v>
      </c>
      <c r="M19" s="78">
        <f t="shared" si="3"/>
        <v>2.4371159859516518</v>
      </c>
      <c r="N19" s="79">
        <f t="shared" si="12"/>
        <v>3.2600298822004686E-2</v>
      </c>
      <c r="O19" s="80">
        <v>17.53</v>
      </c>
      <c r="P19" s="78">
        <f t="shared" si="4"/>
        <v>2.8639136989331431</v>
      </c>
      <c r="Q19" s="79">
        <f t="shared" si="13"/>
        <v>9.1660642978347015E-2</v>
      </c>
      <c r="R19" s="80">
        <v>17.984999999999999</v>
      </c>
      <c r="S19" s="78">
        <f t="shared" si="5"/>
        <v>2.8895380771475874</v>
      </c>
      <c r="T19" s="79">
        <f t="shared" si="14"/>
        <v>8.4349500328485941E-2</v>
      </c>
      <c r="U19" s="80">
        <v>4.7316666666666665</v>
      </c>
      <c r="V19" s="78">
        <f t="shared" si="6"/>
        <v>1.5542775012568248</v>
      </c>
      <c r="W19" s="79">
        <f t="shared" si="15"/>
        <v>0.1134400118774546</v>
      </c>
      <c r="X19" s="80">
        <v>3.7708333333333335</v>
      </c>
      <c r="Y19" s="78">
        <f t="shared" si="7"/>
        <v>1.3272960203579349</v>
      </c>
      <c r="Z19" s="79">
        <f t="shared" si="16"/>
        <v>0.3505959702028506</v>
      </c>
      <c r="AA19" s="80">
        <v>3.2695833333333333</v>
      </c>
      <c r="AB19" s="78">
        <f t="shared" si="8"/>
        <v>1.1846625557914363</v>
      </c>
      <c r="AC19" s="79">
        <f t="shared" si="17"/>
        <v>0.40528094319626812</v>
      </c>
    </row>
    <row r="20" spans="2:29" x14ac:dyDescent="0.3">
      <c r="B20" s="21">
        <v>1976</v>
      </c>
      <c r="C20" s="78">
        <v>31.68</v>
      </c>
      <c r="D20" s="78">
        <f t="shared" si="0"/>
        <v>3.455685566946225</v>
      </c>
      <c r="E20" s="79">
        <f t="shared" si="9"/>
        <v>1.5702995421697109E-2</v>
      </c>
      <c r="F20" s="80">
        <v>31.56</v>
      </c>
      <c r="G20" s="78">
        <f t="shared" si="1"/>
        <v>3.4518904959776733</v>
      </c>
      <c r="H20" s="79">
        <f t="shared" si="10"/>
        <v>2.1117781254999884E-2</v>
      </c>
      <c r="I20" s="80">
        <v>12.84</v>
      </c>
      <c r="J20" s="78">
        <f t="shared" si="2"/>
        <v>2.5525652982618152</v>
      </c>
      <c r="K20" s="79">
        <f t="shared" si="11"/>
        <v>3.8405602091602292E-2</v>
      </c>
      <c r="L20" s="80">
        <v>13.66</v>
      </c>
      <c r="M20" s="78">
        <f t="shared" si="3"/>
        <v>2.6144718541426442</v>
      </c>
      <c r="N20" s="79">
        <f t="shared" si="12"/>
        <v>5.2933519511297357E-2</v>
      </c>
      <c r="O20" s="80">
        <v>20.38</v>
      </c>
      <c r="P20" s="78">
        <f t="shared" si="4"/>
        <v>3.0145540277945786</v>
      </c>
      <c r="Q20" s="79">
        <f t="shared" si="13"/>
        <v>6.4502069646155666E-2</v>
      </c>
      <c r="R20" s="80">
        <v>17.015000000000001</v>
      </c>
      <c r="S20" s="78">
        <f t="shared" si="5"/>
        <v>2.834095307952869</v>
      </c>
      <c r="T20" s="79">
        <f t="shared" si="14"/>
        <v>0.10028735677236367</v>
      </c>
      <c r="U20" s="80">
        <v>5.3666666666666671</v>
      </c>
      <c r="V20" s="78">
        <f t="shared" si="6"/>
        <v>1.6802069833223077</v>
      </c>
      <c r="W20" s="79">
        <f t="shared" si="15"/>
        <v>0.19488945800513124</v>
      </c>
      <c r="X20" s="80">
        <v>3.0958333333333332</v>
      </c>
      <c r="Y20" s="78">
        <f t="shared" si="7"/>
        <v>1.1300571213757677</v>
      </c>
      <c r="Z20" s="79">
        <f t="shared" si="16"/>
        <v>0.17628501520375195</v>
      </c>
      <c r="AA20" s="80">
        <v>4.2687499999999998</v>
      </c>
      <c r="AB20" s="78">
        <f t="shared" si="8"/>
        <v>1.4513210443369631</v>
      </c>
      <c r="AC20" s="79">
        <f t="shared" si="17"/>
        <v>0.25063601860666651</v>
      </c>
    </row>
    <row r="21" spans="2:29" x14ac:dyDescent="0.3">
      <c r="B21" s="21">
        <v>1977</v>
      </c>
      <c r="C21" s="78">
        <v>27</v>
      </c>
      <c r="D21" s="78">
        <f t="shared" si="0"/>
        <v>3.2958368660043291</v>
      </c>
      <c r="E21" s="79">
        <f t="shared" si="9"/>
        <v>2.0589870615616374E-2</v>
      </c>
      <c r="F21" s="80">
        <v>33.96</v>
      </c>
      <c r="G21" s="78">
        <f t="shared" si="1"/>
        <v>3.5251833614431467</v>
      </c>
      <c r="H21" s="79">
        <f t="shared" si="10"/>
        <v>1.6561871826234538E-2</v>
      </c>
      <c r="I21" s="80">
        <v>21.08</v>
      </c>
      <c r="J21" s="78">
        <f t="shared" si="2"/>
        <v>3.0483247236731614</v>
      </c>
      <c r="K21" s="79">
        <f t="shared" si="11"/>
        <v>4.2300831767075033E-2</v>
      </c>
      <c r="L21" s="80">
        <v>17.38</v>
      </c>
      <c r="M21" s="78">
        <f t="shared" si="3"/>
        <v>2.8553201198372458</v>
      </c>
      <c r="N21" s="79">
        <f t="shared" si="12"/>
        <v>6.5572249240767863E-2</v>
      </c>
      <c r="O21" s="80">
        <v>12.78</v>
      </c>
      <c r="P21" s="78">
        <f t="shared" si="4"/>
        <v>2.5478814489493886</v>
      </c>
      <c r="Q21" s="79">
        <f t="shared" si="13"/>
        <v>5.7867242683504266E-2</v>
      </c>
      <c r="R21" s="80">
        <v>10.295</v>
      </c>
      <c r="S21" s="78">
        <f t="shared" si="5"/>
        <v>2.3316583404797528</v>
      </c>
      <c r="T21" s="79">
        <f t="shared" si="14"/>
        <v>2.6951381640769417E-2</v>
      </c>
      <c r="U21" s="80">
        <v>8.0250000000000004</v>
      </c>
      <c r="V21" s="78">
        <f t="shared" si="6"/>
        <v>2.0825616690160795</v>
      </c>
      <c r="W21" s="79">
        <f t="shared" si="15"/>
        <v>0.1620746265836788</v>
      </c>
      <c r="X21" s="80">
        <v>6.9316666666666675</v>
      </c>
      <c r="Y21" s="78">
        <f t="shared" si="7"/>
        <v>1.9361002845267654</v>
      </c>
      <c r="Z21" s="79">
        <f t="shared" si="16"/>
        <v>4.2679106032350006E-2</v>
      </c>
      <c r="AA21" s="80">
        <v>5.2020833333333334</v>
      </c>
      <c r="AB21" s="78">
        <f t="shared" si="8"/>
        <v>1.6490591863778366</v>
      </c>
      <c r="AC21" s="79">
        <f t="shared" si="17"/>
        <v>0.10318434786771227</v>
      </c>
    </row>
    <row r="22" spans="2:29" x14ac:dyDescent="0.3">
      <c r="B22" s="21">
        <v>1978</v>
      </c>
      <c r="C22" s="78">
        <v>5.04</v>
      </c>
      <c r="D22" s="78">
        <f t="shared" si="0"/>
        <v>1.6174060820832772</v>
      </c>
      <c r="E22" s="79">
        <f t="shared" si="9"/>
        <v>1.196826445442257E-2</v>
      </c>
      <c r="F22" s="80">
        <v>25.380000000000003</v>
      </c>
      <c r="G22" s="78">
        <f t="shared" si="1"/>
        <v>3.2339614622862416</v>
      </c>
      <c r="H22" s="79">
        <f t="shared" si="10"/>
        <v>3.6075530635226588E-2</v>
      </c>
      <c r="I22" s="80">
        <v>26.76</v>
      </c>
      <c r="J22" s="78">
        <f t="shared" si="2"/>
        <v>3.2869082352600278</v>
      </c>
      <c r="K22" s="79">
        <f t="shared" si="11"/>
        <v>2.8601980908485963E-2</v>
      </c>
      <c r="L22" s="80">
        <v>11.54</v>
      </c>
      <c r="M22" s="78">
        <f t="shared" si="3"/>
        <v>2.4458192610799534</v>
      </c>
      <c r="N22" s="79">
        <f t="shared" si="12"/>
        <v>3.3601803690076995E-2</v>
      </c>
      <c r="O22" s="80">
        <v>21.7</v>
      </c>
      <c r="P22" s="78">
        <f t="shared" si="4"/>
        <v>3.0773122605464138</v>
      </c>
      <c r="Q22" s="79">
        <f t="shared" si="13"/>
        <v>4.9978531819807125E-2</v>
      </c>
      <c r="R22" s="80">
        <v>18.195</v>
      </c>
      <c r="S22" s="78">
        <f t="shared" si="5"/>
        <v>2.9011468310641231</v>
      </c>
      <c r="T22" s="79">
        <f t="shared" si="14"/>
        <v>8.0699023064286585E-2</v>
      </c>
      <c r="U22" s="80">
        <v>6.2766666666666664</v>
      </c>
      <c r="V22" s="78">
        <f t="shared" si="6"/>
        <v>1.8368390540009514</v>
      </c>
      <c r="W22" s="79">
        <f t="shared" si="15"/>
        <v>0.25649833703730873</v>
      </c>
      <c r="X22" s="80">
        <v>3.0474999999999999</v>
      </c>
      <c r="Y22" s="78">
        <f t="shared" si="7"/>
        <v>1.1143215823732895</v>
      </c>
      <c r="Z22" s="79">
        <f t="shared" si="16"/>
        <v>0.16212647210572004</v>
      </c>
      <c r="AA22" s="80">
        <v>2.8125</v>
      </c>
      <c r="AB22" s="78">
        <f t="shared" si="8"/>
        <v>1.0340737675305385</v>
      </c>
      <c r="AC22" s="79">
        <f t="shared" si="17"/>
        <v>0.36965357939601845</v>
      </c>
    </row>
    <row r="23" spans="2:29" x14ac:dyDescent="0.3">
      <c r="B23" s="21">
        <v>1979</v>
      </c>
      <c r="C23" s="78">
        <v>11.64</v>
      </c>
      <c r="D23" s="78">
        <f t="shared" si="0"/>
        <v>2.4544474423032918</v>
      </c>
      <c r="E23" s="79">
        <f t="shared" si="9"/>
        <v>3.3989822346472055E-2</v>
      </c>
      <c r="F23" s="80">
        <v>18.72</v>
      </c>
      <c r="G23" s="78">
        <f t="shared" si="1"/>
        <v>2.9295924710494461</v>
      </c>
      <c r="H23" s="79">
        <f t="shared" si="10"/>
        <v>4.769983866899178E-2</v>
      </c>
      <c r="I23" s="80">
        <v>19.52</v>
      </c>
      <c r="J23" s="78">
        <f t="shared" si="2"/>
        <v>2.9714395809849465</v>
      </c>
      <c r="K23" s="79">
        <f t="shared" si="11"/>
        <v>4.5164171350961298E-2</v>
      </c>
      <c r="L23" s="80">
        <v>18.059999999999999</v>
      </c>
      <c r="M23" s="78">
        <f t="shared" si="3"/>
        <v>2.8936995479888394</v>
      </c>
      <c r="N23" s="79">
        <f t="shared" si="12"/>
        <v>6.4716685943251348E-2</v>
      </c>
      <c r="O23" s="80">
        <v>13.75</v>
      </c>
      <c r="P23" s="78">
        <f t="shared" si="4"/>
        <v>2.6210388241125804</v>
      </c>
      <c r="Q23" s="79">
        <f t="shared" si="13"/>
        <v>7.435477881408846E-2</v>
      </c>
      <c r="R23" s="80">
        <v>15.46</v>
      </c>
      <c r="S23" s="78">
        <f t="shared" si="5"/>
        <v>2.738256043159276</v>
      </c>
      <c r="T23" s="79">
        <f t="shared" si="14"/>
        <v>0.11652626059146372</v>
      </c>
      <c r="U23" s="80">
        <v>5.6083333333333334</v>
      </c>
      <c r="V23" s="78">
        <f t="shared" si="6"/>
        <v>1.7242535868626818</v>
      </c>
      <c r="W23" s="79">
        <f t="shared" si="15"/>
        <v>0.22015208264587371</v>
      </c>
      <c r="X23" s="80">
        <v>5.2791666666666668</v>
      </c>
      <c r="Y23" s="78">
        <f t="shared" si="7"/>
        <v>1.6637682569791479</v>
      </c>
      <c r="Z23" s="79">
        <f t="shared" si="16"/>
        <v>0.24110784676636823</v>
      </c>
      <c r="AA23" s="80">
        <v>2.96875</v>
      </c>
      <c r="AB23" s="78">
        <f t="shared" si="8"/>
        <v>1.0881409888008142</v>
      </c>
      <c r="AC23" s="79">
        <f t="shared" si="17"/>
        <v>0.39377763517194059</v>
      </c>
    </row>
    <row r="24" spans="2:29" x14ac:dyDescent="0.3">
      <c r="B24" s="21">
        <v>1980</v>
      </c>
      <c r="C24" s="78">
        <v>25.200000000000003</v>
      </c>
      <c r="D24" s="78">
        <f t="shared" si="0"/>
        <v>3.2268439945173779</v>
      </c>
      <c r="E24" s="79">
        <f t="shared" si="9"/>
        <v>2.274646284264761E-2</v>
      </c>
      <c r="F24" s="80">
        <v>33.480000000000004</v>
      </c>
      <c r="G24" s="78">
        <f t="shared" si="1"/>
        <v>3.5109482456212748</v>
      </c>
      <c r="H24" s="79">
        <f t="shared" si="10"/>
        <v>1.7405385040148397E-2</v>
      </c>
      <c r="I24" s="80">
        <v>43.6</v>
      </c>
      <c r="J24" s="78">
        <f t="shared" si="2"/>
        <v>3.7750571503549888</v>
      </c>
      <c r="K24" s="79">
        <f t="shared" si="11"/>
        <v>5.2924996016083525E-3</v>
      </c>
      <c r="L24" s="80">
        <v>25.68</v>
      </c>
      <c r="M24" s="78">
        <f t="shared" si="3"/>
        <v>3.2457124788217606</v>
      </c>
      <c r="N24" s="79">
        <f t="shared" si="12"/>
        <v>3.12998917360537E-2</v>
      </c>
      <c r="O24" s="80">
        <v>14.61</v>
      </c>
      <c r="P24" s="78">
        <f t="shared" si="4"/>
        <v>2.6817062257626079</v>
      </c>
      <c r="Q24" s="79">
        <f t="shared" si="13"/>
        <v>8.5699093896204531E-2</v>
      </c>
      <c r="R24" s="80">
        <v>25.56</v>
      </c>
      <c r="S24" s="78">
        <f t="shared" si="5"/>
        <v>3.241028629509334</v>
      </c>
      <c r="T24" s="79">
        <f t="shared" si="14"/>
        <v>6.468156190111457E-3</v>
      </c>
      <c r="U24" s="80">
        <v>9.668333333333333</v>
      </c>
      <c r="V24" s="78">
        <f t="shared" si="6"/>
        <v>2.2688559402499178</v>
      </c>
      <c r="W24" s="79">
        <f t="shared" si="15"/>
        <v>5.5452393636790942E-2</v>
      </c>
      <c r="X24" s="80">
        <v>3.6491666666666664</v>
      </c>
      <c r="Y24" s="78">
        <f t="shared" si="7"/>
        <v>1.2944988310253067</v>
      </c>
      <c r="Z24" s="79">
        <f t="shared" si="16"/>
        <v>0.32759522925018364</v>
      </c>
      <c r="AA24" s="80">
        <v>3.2354166666666671</v>
      </c>
      <c r="AB24" s="78">
        <f t="shared" si="8"/>
        <v>1.1741577192467505</v>
      </c>
      <c r="AC24" s="79">
        <f t="shared" si="17"/>
        <v>0.40612982755947219</v>
      </c>
    </row>
    <row r="25" spans="2:29" x14ac:dyDescent="0.3">
      <c r="B25" s="21">
        <v>1981</v>
      </c>
      <c r="C25" s="78">
        <v>18.72</v>
      </c>
      <c r="D25" s="78">
        <f t="shared" si="0"/>
        <v>2.9295924710494461</v>
      </c>
      <c r="E25" s="79">
        <f t="shared" si="9"/>
        <v>3.1001913125928718E-2</v>
      </c>
      <c r="F25" s="80">
        <v>26.58</v>
      </c>
      <c r="G25" s="78">
        <f t="shared" si="1"/>
        <v>3.2801590532850993</v>
      </c>
      <c r="H25" s="79">
        <f t="shared" si="10"/>
        <v>3.2966188147672153E-2</v>
      </c>
      <c r="I25" s="80">
        <v>18.36</v>
      </c>
      <c r="J25" s="78">
        <f t="shared" si="2"/>
        <v>2.9101743851923443</v>
      </c>
      <c r="K25" s="79">
        <f t="shared" si="11"/>
        <v>4.6588066776724259E-2</v>
      </c>
      <c r="L25" s="80">
        <v>22.26</v>
      </c>
      <c r="M25" s="78">
        <f t="shared" si="3"/>
        <v>3.102791345847399</v>
      </c>
      <c r="N25" s="79">
        <f t="shared" si="12"/>
        <v>4.7957243777893933E-2</v>
      </c>
      <c r="O25" s="80">
        <v>21.34</v>
      </c>
      <c r="P25" s="78">
        <f t="shared" si="4"/>
        <v>3.0605832458736071</v>
      </c>
      <c r="Q25" s="79">
        <f t="shared" si="13"/>
        <v>5.3830763915954032E-2</v>
      </c>
      <c r="R25" s="80">
        <v>17.47</v>
      </c>
      <c r="S25" s="78">
        <f t="shared" si="5"/>
        <v>2.8604851241459652</v>
      </c>
      <c r="T25" s="79">
        <f t="shared" si="14"/>
        <v>9.3087989144201286E-2</v>
      </c>
      <c r="U25" s="80">
        <v>7.0333333333333341</v>
      </c>
      <c r="V25" s="78">
        <f t="shared" si="6"/>
        <v>1.9506607518139112</v>
      </c>
      <c r="W25" s="79">
        <f t="shared" si="15"/>
        <v>0.23737105850756954</v>
      </c>
      <c r="X25" s="80">
        <v>6.3358333333333334</v>
      </c>
      <c r="Y25" s="78">
        <f t="shared" si="7"/>
        <v>1.846221349452345</v>
      </c>
      <c r="Z25" s="79">
        <f t="shared" si="16"/>
        <v>8.7048664870236339E-2</v>
      </c>
      <c r="AA25" s="80">
        <v>3.0662500000000001</v>
      </c>
      <c r="AB25" s="78">
        <f t="shared" si="8"/>
        <v>1.120455316590562</v>
      </c>
      <c r="AC25" s="79">
        <f t="shared" si="17"/>
        <v>0.40239191856597073</v>
      </c>
    </row>
    <row r="26" spans="2:29" x14ac:dyDescent="0.3">
      <c r="B26" s="21">
        <v>1982</v>
      </c>
      <c r="C26" s="78">
        <v>4.32</v>
      </c>
      <c r="D26" s="78">
        <f t="shared" si="0"/>
        <v>1.4632554022560189</v>
      </c>
      <c r="E26" s="79">
        <f t="shared" si="9"/>
        <v>8.3501308742419469E-3</v>
      </c>
      <c r="F26" s="80">
        <v>10.02</v>
      </c>
      <c r="G26" s="78">
        <f t="shared" si="1"/>
        <v>2.3045830956567186</v>
      </c>
      <c r="H26" s="79">
        <f t="shared" si="10"/>
        <v>1.5276226096490705E-2</v>
      </c>
      <c r="I26" s="80">
        <v>12.92</v>
      </c>
      <c r="J26" s="78">
        <f t="shared" si="2"/>
        <v>2.5587764983544559</v>
      </c>
      <c r="K26" s="79">
        <f t="shared" si="11"/>
        <v>3.8745404483561799E-2</v>
      </c>
      <c r="L26" s="80">
        <v>18.559999999999999</v>
      </c>
      <c r="M26" s="78">
        <f t="shared" si="3"/>
        <v>2.9210087273580543</v>
      </c>
      <c r="N26" s="79">
        <f t="shared" si="12"/>
        <v>6.3609567809701797E-2</v>
      </c>
      <c r="O26" s="80">
        <v>23.37</v>
      </c>
      <c r="P26" s="78">
        <f t="shared" si="4"/>
        <v>3.1514531485507664</v>
      </c>
      <c r="Q26" s="79">
        <f t="shared" si="13"/>
        <v>3.4050113477345954E-2</v>
      </c>
      <c r="R26" s="80">
        <v>15.05</v>
      </c>
      <c r="S26" s="78">
        <f t="shared" si="5"/>
        <v>2.711377991194885</v>
      </c>
      <c r="T26" s="79">
        <f t="shared" si="14"/>
        <v>0.11748222160311324</v>
      </c>
      <c r="U26" s="80">
        <v>5.7016666666666671</v>
      </c>
      <c r="V26" s="78">
        <f t="shared" si="6"/>
        <v>1.7407585297614583</v>
      </c>
      <c r="W26" s="79">
        <f t="shared" si="15"/>
        <v>0.22837629944469326</v>
      </c>
      <c r="X26" s="80">
        <v>3.1283333333333334</v>
      </c>
      <c r="Y26" s="78">
        <f t="shared" si="7"/>
        <v>1.1405003813703625</v>
      </c>
      <c r="Z26" s="79">
        <f t="shared" si="16"/>
        <v>0.18591932423119545</v>
      </c>
      <c r="AA26" s="80">
        <v>3.2204166666666669</v>
      </c>
      <c r="AB26" s="78">
        <f t="shared" si="8"/>
        <v>1.169510750770834</v>
      </c>
      <c r="AC26" s="79">
        <f t="shared" si="17"/>
        <v>0.40634040176623076</v>
      </c>
    </row>
    <row r="27" spans="2:29" x14ac:dyDescent="0.3">
      <c r="B27" s="21">
        <v>1983</v>
      </c>
      <c r="C27" s="78">
        <v>29.04</v>
      </c>
      <c r="D27" s="78">
        <f t="shared" si="0"/>
        <v>3.3686741899565953</v>
      </c>
      <c r="E27" s="79">
        <f t="shared" si="9"/>
        <v>1.83255501296587E-2</v>
      </c>
      <c r="F27" s="80">
        <v>28.200000000000003</v>
      </c>
      <c r="G27" s="78">
        <f t="shared" si="1"/>
        <v>3.3393219779440679</v>
      </c>
      <c r="H27" s="79">
        <f t="shared" si="10"/>
        <v>2.8837614635709091E-2</v>
      </c>
      <c r="I27" s="80">
        <v>7.56</v>
      </c>
      <c r="J27" s="78">
        <f t="shared" si="2"/>
        <v>2.0228711901914416</v>
      </c>
      <c r="K27" s="79">
        <f t="shared" si="11"/>
        <v>8.9139456044026802E-3</v>
      </c>
      <c r="L27" s="80">
        <v>11.3</v>
      </c>
      <c r="M27" s="78">
        <f t="shared" si="3"/>
        <v>2.4248027257182949</v>
      </c>
      <c r="N27" s="79">
        <f t="shared" si="12"/>
        <v>3.1198544078113188E-2</v>
      </c>
      <c r="O27" s="80">
        <v>11.87</v>
      </c>
      <c r="P27" s="78">
        <f t="shared" si="4"/>
        <v>2.4740142086215764</v>
      </c>
      <c r="Q27" s="79">
        <f t="shared" si="13"/>
        <v>4.1135351703885631E-2</v>
      </c>
      <c r="R27" s="80">
        <v>16.574999999999999</v>
      </c>
      <c r="S27" s="78">
        <f t="shared" si="5"/>
        <v>2.8078955360719262</v>
      </c>
      <c r="T27" s="79">
        <f t="shared" si="14"/>
        <v>0.10646633881381003</v>
      </c>
      <c r="U27" s="80">
        <v>4.7333333333333334</v>
      </c>
      <c r="V27" s="78">
        <f t="shared" si="6"/>
        <v>1.5546296759391054</v>
      </c>
      <c r="W27" s="79">
        <f t="shared" si="15"/>
        <v>0.1136570614812394</v>
      </c>
      <c r="X27" s="80">
        <v>4.1791666666666663</v>
      </c>
      <c r="Y27" s="78">
        <f t="shared" si="7"/>
        <v>1.4301118646199442</v>
      </c>
      <c r="Z27" s="79">
        <f t="shared" si="16"/>
        <v>0.38460630272029017</v>
      </c>
      <c r="AA27" s="80">
        <v>2.85</v>
      </c>
      <c r="AB27" s="78">
        <f t="shared" si="8"/>
        <v>1.0473189942805592</v>
      </c>
      <c r="AC27" s="79">
        <f t="shared" si="17"/>
        <v>0.3765990210513272</v>
      </c>
    </row>
    <row r="28" spans="2:29" x14ac:dyDescent="0.3">
      <c r="B28" s="21">
        <v>1984</v>
      </c>
      <c r="C28" s="78">
        <v>12.600000000000001</v>
      </c>
      <c r="D28" s="78">
        <f t="shared" si="0"/>
        <v>2.5336968139574325</v>
      </c>
      <c r="E28" s="79">
        <f t="shared" si="9"/>
        <v>3.4645257674898844E-2</v>
      </c>
      <c r="F28" s="80">
        <v>20.52</v>
      </c>
      <c r="G28" s="78">
        <f t="shared" si="1"/>
        <v>3.0214000203025688</v>
      </c>
      <c r="H28" s="79">
        <f t="shared" si="10"/>
        <v>4.6441817414501284E-2</v>
      </c>
      <c r="I28" s="80">
        <v>25.52</v>
      </c>
      <c r="J28" s="78">
        <f t="shared" si="2"/>
        <v>3.2394624584765892</v>
      </c>
      <c r="K28" s="79">
        <f t="shared" si="11"/>
        <v>3.1625378367042094E-2</v>
      </c>
      <c r="L28" s="80">
        <v>17.32</v>
      </c>
      <c r="M28" s="78">
        <f t="shared" si="3"/>
        <v>2.8518619031342891</v>
      </c>
      <c r="N28" s="79">
        <f t="shared" si="12"/>
        <v>6.560802533278505E-2</v>
      </c>
      <c r="O28" s="80">
        <v>12.91</v>
      </c>
      <c r="P28" s="78">
        <f t="shared" si="4"/>
        <v>2.5580022048585511</v>
      </c>
      <c r="Q28" s="79">
        <f t="shared" si="13"/>
        <v>6.0220446475453604E-2</v>
      </c>
      <c r="R28" s="80">
        <v>10.54</v>
      </c>
      <c r="S28" s="78">
        <f t="shared" si="5"/>
        <v>2.355177543113216</v>
      </c>
      <c r="T28" s="79">
        <f t="shared" si="14"/>
        <v>3.2180888051943107E-2</v>
      </c>
      <c r="U28" s="80">
        <v>8.2383333333333333</v>
      </c>
      <c r="V28" s="78">
        <f t="shared" si="6"/>
        <v>2.1087980580908128</v>
      </c>
      <c r="W28" s="79">
        <f t="shared" si="15"/>
        <v>0.14472146021881641</v>
      </c>
      <c r="X28" s="80">
        <v>7.5908333333333333</v>
      </c>
      <c r="Y28" s="78">
        <f t="shared" si="7"/>
        <v>2.0269413789687181</v>
      </c>
      <c r="Z28" s="79">
        <f t="shared" si="16"/>
        <v>1.802705409531092E-2</v>
      </c>
      <c r="AA28" s="80">
        <v>6.029583333333334</v>
      </c>
      <c r="AB28" s="78">
        <f t="shared" si="8"/>
        <v>1.7966779094019558</v>
      </c>
      <c r="AC28" s="79">
        <f t="shared" si="17"/>
        <v>3.9611333882168885E-2</v>
      </c>
    </row>
    <row r="29" spans="2:29" x14ac:dyDescent="0.3">
      <c r="B29" s="21">
        <v>1985</v>
      </c>
      <c r="C29" s="78">
        <v>10.32</v>
      </c>
      <c r="D29" s="78">
        <f t="shared" si="0"/>
        <v>2.3340837600534168</v>
      </c>
      <c r="E29" s="79">
        <f t="shared" si="9"/>
        <v>3.2158407994309378E-2</v>
      </c>
      <c r="F29" s="80">
        <v>28.98</v>
      </c>
      <c r="G29" s="78">
        <f t="shared" si="1"/>
        <v>3.3666059368925363</v>
      </c>
      <c r="H29" s="79">
        <f t="shared" si="10"/>
        <v>2.6924142170892024E-2</v>
      </c>
      <c r="I29" s="80">
        <v>13.28</v>
      </c>
      <c r="J29" s="78">
        <f t="shared" si="2"/>
        <v>2.5862591440482876</v>
      </c>
      <c r="K29" s="79">
        <f t="shared" si="11"/>
        <v>4.0192260128677125E-2</v>
      </c>
      <c r="L29" s="80">
        <v>9.26</v>
      </c>
      <c r="M29" s="78">
        <f t="shared" si="3"/>
        <v>2.2257040486580881</v>
      </c>
      <c r="N29" s="79">
        <f t="shared" si="12"/>
        <v>1.2732101865582612E-2</v>
      </c>
      <c r="O29" s="80">
        <v>14.82</v>
      </c>
      <c r="P29" s="78">
        <f t="shared" si="4"/>
        <v>2.695977619867941</v>
      </c>
      <c r="Q29" s="79">
        <f t="shared" si="13"/>
        <v>8.7844118220997094E-2</v>
      </c>
      <c r="R29" s="80">
        <v>15.33</v>
      </c>
      <c r="S29" s="78">
        <f t="shared" si="5"/>
        <v>2.7298116928837226</v>
      </c>
      <c r="T29" s="79">
        <f t="shared" si="14"/>
        <v>0.11701291070107091</v>
      </c>
      <c r="U29" s="80">
        <v>5.8683333333333332</v>
      </c>
      <c r="V29" s="78">
        <f t="shared" si="6"/>
        <v>1.7695706639389062</v>
      </c>
      <c r="W29" s="79">
        <f t="shared" si="15"/>
        <v>0.2406311793692136</v>
      </c>
      <c r="X29" s="80">
        <v>6.2424999999999997</v>
      </c>
      <c r="Y29" s="78">
        <f t="shared" si="7"/>
        <v>1.8313807431717912</v>
      </c>
      <c r="Z29" s="79">
        <f t="shared" si="16"/>
        <v>9.6618099332971691E-2</v>
      </c>
      <c r="AA29" s="80">
        <v>2.7495833333333333</v>
      </c>
      <c r="AB29" s="78">
        <f t="shared" si="8"/>
        <v>1.0114493850473847</v>
      </c>
      <c r="AC29" s="79">
        <f t="shared" si="17"/>
        <v>0.35640813357814571</v>
      </c>
    </row>
    <row r="30" spans="2:29" x14ac:dyDescent="0.3">
      <c r="B30" s="21">
        <v>1986</v>
      </c>
      <c r="C30" s="78">
        <v>42.24</v>
      </c>
      <c r="D30" s="78">
        <f t="shared" si="0"/>
        <v>3.7433676393980062</v>
      </c>
      <c r="E30" s="79">
        <f t="shared" si="9"/>
        <v>8.3718123453948926E-3</v>
      </c>
      <c r="F30" s="80">
        <v>16.38</v>
      </c>
      <c r="G30" s="78">
        <f t="shared" si="1"/>
        <v>2.7960610784249234</v>
      </c>
      <c r="H30" s="79">
        <f t="shared" si="10"/>
        <v>4.5381709065227635E-2</v>
      </c>
      <c r="I30" s="80">
        <v>19.04</v>
      </c>
      <c r="J30" s="78">
        <f t="shared" si="2"/>
        <v>2.9465420293632194</v>
      </c>
      <c r="K30" s="79">
        <f t="shared" si="11"/>
        <v>4.5841110015277929E-2</v>
      </c>
      <c r="L30" s="80">
        <v>15.9</v>
      </c>
      <c r="M30" s="78">
        <f t="shared" si="3"/>
        <v>2.7663191092261861</v>
      </c>
      <c r="N30" s="79">
        <f t="shared" si="12"/>
        <v>6.4303900640086217E-2</v>
      </c>
      <c r="O30" s="80">
        <v>19.48</v>
      </c>
      <c r="P30" s="78">
        <f t="shared" si="4"/>
        <v>2.9693882982143891</v>
      </c>
      <c r="Q30" s="79">
        <f t="shared" si="13"/>
        <v>7.449434658666991E-2</v>
      </c>
      <c r="R30" s="80">
        <v>20.895</v>
      </c>
      <c r="S30" s="78">
        <f t="shared" si="5"/>
        <v>3.0395098958998785</v>
      </c>
      <c r="T30" s="79">
        <f t="shared" si="14"/>
        <v>3.847551833735853E-2</v>
      </c>
      <c r="U30" s="80">
        <v>7.7283333333333326</v>
      </c>
      <c r="V30" s="78">
        <f t="shared" si="6"/>
        <v>2.0448932291753144</v>
      </c>
      <c r="W30" s="79">
        <f t="shared" si="15"/>
        <v>0.18660209269768263</v>
      </c>
      <c r="X30" s="80">
        <v>3.3041666666666667</v>
      </c>
      <c r="Y30" s="78">
        <f t="shared" si="7"/>
        <v>1.1951842982928567</v>
      </c>
      <c r="Z30" s="79">
        <f t="shared" si="16"/>
        <v>0.238234240989457</v>
      </c>
      <c r="AA30" s="80">
        <v>4.3758333333333335</v>
      </c>
      <c r="AB30" s="78">
        <f t="shared" si="8"/>
        <v>1.4760969778617676</v>
      </c>
      <c r="AC30" s="79">
        <f t="shared" si="17"/>
        <v>0.22988702763785462</v>
      </c>
    </row>
    <row r="31" spans="2:29" x14ac:dyDescent="0.3">
      <c r="B31" s="21">
        <v>1987</v>
      </c>
      <c r="C31" s="78">
        <v>25.799999999999997</v>
      </c>
      <c r="D31" s="78">
        <f t="shared" si="0"/>
        <v>3.2503744919275714</v>
      </c>
      <c r="E31" s="79">
        <f t="shared" si="9"/>
        <v>2.2012518717833551E-2</v>
      </c>
      <c r="F31" s="80">
        <v>15.72</v>
      </c>
      <c r="G31" s="78">
        <f t="shared" si="1"/>
        <v>2.7549337870010606</v>
      </c>
      <c r="H31" s="79">
        <f t="shared" si="10"/>
        <v>4.3754372907396762E-2</v>
      </c>
      <c r="I31" s="80">
        <v>11.32</v>
      </c>
      <c r="J31" s="78">
        <f t="shared" si="2"/>
        <v>2.4265710727750367</v>
      </c>
      <c r="K31" s="79">
        <f t="shared" si="11"/>
        <v>3.0811596732934775E-2</v>
      </c>
      <c r="L31" s="80">
        <v>9.86</v>
      </c>
      <c r="M31" s="78">
        <f t="shared" si="3"/>
        <v>2.2884861686145439</v>
      </c>
      <c r="N31" s="79">
        <f t="shared" si="12"/>
        <v>1.7539879125838157E-2</v>
      </c>
      <c r="O31" s="80">
        <v>15.05</v>
      </c>
      <c r="P31" s="78">
        <f t="shared" si="4"/>
        <v>2.711377991194885</v>
      </c>
      <c r="Q31" s="79">
        <f t="shared" si="13"/>
        <v>8.9885079705237708E-2</v>
      </c>
      <c r="R31" s="80">
        <v>13.3</v>
      </c>
      <c r="S31" s="78">
        <f t="shared" si="5"/>
        <v>2.5877640352277083</v>
      </c>
      <c r="T31" s="79">
        <f t="shared" si="14"/>
        <v>0.10074199191607355</v>
      </c>
      <c r="U31" s="80">
        <v>7.7266666666666666</v>
      </c>
      <c r="V31" s="78">
        <f t="shared" si="6"/>
        <v>2.0446775492434961</v>
      </c>
      <c r="W31" s="79">
        <f t="shared" si="15"/>
        <v>0.18673898350142012</v>
      </c>
      <c r="X31" s="80">
        <v>5.0241666666666669</v>
      </c>
      <c r="Y31" s="78">
        <f t="shared" si="7"/>
        <v>1.614259602713314</v>
      </c>
      <c r="Z31" s="79">
        <f t="shared" si="16"/>
        <v>0.28793705741549869</v>
      </c>
      <c r="AA31" s="80">
        <v>2.4116666666666666</v>
      </c>
      <c r="AB31" s="78">
        <f t="shared" si="8"/>
        <v>0.88031807141533747</v>
      </c>
      <c r="AC31" s="79">
        <f t="shared" si="17"/>
        <v>0.25671538460128623</v>
      </c>
    </row>
    <row r="32" spans="2:29" x14ac:dyDescent="0.3">
      <c r="B32" s="21">
        <v>1988</v>
      </c>
      <c r="C32" s="78">
        <v>23.04</v>
      </c>
      <c r="D32" s="78">
        <f t="shared" si="0"/>
        <v>3.1372318358276905</v>
      </c>
      <c r="E32" s="79">
        <f t="shared" si="9"/>
        <v>2.5487425047786078E-2</v>
      </c>
      <c r="F32" s="80">
        <v>10.44</v>
      </c>
      <c r="G32" s="78">
        <f t="shared" si="1"/>
        <v>2.3456445824544927</v>
      </c>
      <c r="H32" s="79">
        <f t="shared" si="10"/>
        <v>1.7668445763469043E-2</v>
      </c>
      <c r="I32" s="80">
        <v>33.4</v>
      </c>
      <c r="J32" s="78">
        <f t="shared" si="2"/>
        <v>3.5085558999826545</v>
      </c>
      <c r="K32" s="79">
        <f t="shared" si="11"/>
        <v>1.5409869617773641E-2</v>
      </c>
      <c r="L32" s="80">
        <v>19.32</v>
      </c>
      <c r="M32" s="78">
        <f t="shared" si="3"/>
        <v>2.9611408287843721</v>
      </c>
      <c r="N32" s="79">
        <f t="shared" si="12"/>
        <v>6.1281162309872711E-2</v>
      </c>
      <c r="O32" s="80">
        <v>25.17</v>
      </c>
      <c r="P32" s="78">
        <f t="shared" si="4"/>
        <v>3.2256528091472245</v>
      </c>
      <c r="Q32" s="79">
        <f t="shared" si="13"/>
        <v>2.1208990132451869E-2</v>
      </c>
      <c r="R32" s="80">
        <v>21.795000000000002</v>
      </c>
      <c r="S32" s="78">
        <f t="shared" si="5"/>
        <v>3.0816805856903562</v>
      </c>
      <c r="T32" s="79">
        <f t="shared" si="14"/>
        <v>2.8388343275231549E-2</v>
      </c>
      <c r="U32" s="80">
        <v>6.456666666666667</v>
      </c>
      <c r="V32" s="78">
        <f t="shared" si="6"/>
        <v>1.8651131887507948</v>
      </c>
      <c r="W32" s="79">
        <f t="shared" si="15"/>
        <v>0.25714620766321544</v>
      </c>
      <c r="X32" s="80">
        <v>3.7441666666666666</v>
      </c>
      <c r="Y32" s="78">
        <f t="shared" si="7"/>
        <v>1.3201990732940683</v>
      </c>
      <c r="Z32" s="79">
        <f t="shared" si="16"/>
        <v>0.34602906339528178</v>
      </c>
      <c r="AA32" s="80">
        <v>5.0983333333333336</v>
      </c>
      <c r="AB32" s="78">
        <f t="shared" si="8"/>
        <v>1.6289136889347571</v>
      </c>
      <c r="AC32" s="79">
        <f t="shared" si="17"/>
        <v>0.11531024777356946</v>
      </c>
    </row>
    <row r="33" spans="2:29" x14ac:dyDescent="0.3">
      <c r="B33" s="21">
        <v>1989</v>
      </c>
      <c r="C33" s="78">
        <v>24.240000000000002</v>
      </c>
      <c r="D33" s="78">
        <f t="shared" si="0"/>
        <v>3.1880041612011136</v>
      </c>
      <c r="E33" s="79">
        <f t="shared" si="9"/>
        <v>2.3948064010559725E-2</v>
      </c>
      <c r="F33" s="80">
        <v>45.54</v>
      </c>
      <c r="G33" s="78">
        <f t="shared" si="1"/>
        <v>3.8185910606355935</v>
      </c>
      <c r="H33" s="79">
        <f t="shared" si="10"/>
        <v>4.5591111017824716E-3</v>
      </c>
      <c r="I33" s="80">
        <v>36.68</v>
      </c>
      <c r="J33" s="78">
        <f t="shared" si="2"/>
        <v>3.6022316473882641</v>
      </c>
      <c r="K33" s="79">
        <f t="shared" si="11"/>
        <v>1.1021066792789124E-2</v>
      </c>
      <c r="L33" s="80">
        <v>36.42</v>
      </c>
      <c r="M33" s="78">
        <f t="shared" si="3"/>
        <v>3.595118074299462</v>
      </c>
      <c r="N33" s="79">
        <f t="shared" si="12"/>
        <v>5.1652442650958327E-3</v>
      </c>
      <c r="O33" s="80">
        <v>24.46</v>
      </c>
      <c r="P33" s="78">
        <f t="shared" si="4"/>
        <v>3.1970391302590264</v>
      </c>
      <c r="Q33" s="79">
        <f t="shared" si="13"/>
        <v>2.5727843697776778E-2</v>
      </c>
      <c r="R33" s="80">
        <v>13.625</v>
      </c>
      <c r="S33" s="78">
        <f t="shared" si="5"/>
        <v>2.6119063405493077</v>
      </c>
      <c r="T33" s="79">
        <f t="shared" si="14"/>
        <v>0.10640801530984728</v>
      </c>
      <c r="U33" s="80">
        <v>6.3949999999999996</v>
      </c>
      <c r="V33" s="78">
        <f t="shared" si="6"/>
        <v>1.855516435030806</v>
      </c>
      <c r="W33" s="79">
        <f t="shared" si="15"/>
        <v>0.2573410149848453</v>
      </c>
      <c r="X33" s="80">
        <v>5.0441666666666665</v>
      </c>
      <c r="Y33" s="78">
        <f t="shared" si="7"/>
        <v>1.6182324601155955</v>
      </c>
      <c r="Z33" s="79">
        <f t="shared" si="16"/>
        <v>0.28430772488215628</v>
      </c>
      <c r="AA33" s="80">
        <v>4.3604166666666666</v>
      </c>
      <c r="AB33" s="78">
        <f t="shared" si="8"/>
        <v>1.472567618544063</v>
      </c>
      <c r="AC33" s="79">
        <f t="shared" si="17"/>
        <v>0.23283532526198292</v>
      </c>
    </row>
    <row r="34" spans="2:29" x14ac:dyDescent="0.3">
      <c r="B34" s="21">
        <v>1990</v>
      </c>
      <c r="C34" s="78">
        <v>22.200000000000003</v>
      </c>
      <c r="D34" s="78">
        <f t="shared" si="0"/>
        <v>3.1000922888782338</v>
      </c>
      <c r="E34" s="79">
        <f t="shared" si="9"/>
        <v>2.6580311617665588E-2</v>
      </c>
      <c r="F34" s="80">
        <v>22.200000000000003</v>
      </c>
      <c r="G34" s="78">
        <f t="shared" si="1"/>
        <v>3.1000922888782338</v>
      </c>
      <c r="H34" s="79">
        <f t="shared" si="10"/>
        <v>4.3629888303171036E-2</v>
      </c>
      <c r="I34" s="80">
        <v>45.32</v>
      </c>
      <c r="J34" s="78">
        <f t="shared" si="2"/>
        <v>3.8137484361598055</v>
      </c>
      <c r="K34" s="79">
        <f t="shared" si="11"/>
        <v>4.4000829054462376E-3</v>
      </c>
      <c r="L34" s="80">
        <v>26.56</v>
      </c>
      <c r="M34" s="78">
        <f t="shared" si="3"/>
        <v>3.279406324608233</v>
      </c>
      <c r="N34" s="79">
        <f t="shared" si="12"/>
        <v>2.7571466908540173E-2</v>
      </c>
      <c r="O34" s="80">
        <v>11.31</v>
      </c>
      <c r="P34" s="78">
        <f t="shared" si="4"/>
        <v>2.4256872901280291</v>
      </c>
      <c r="Q34" s="79">
        <f t="shared" si="13"/>
        <v>3.1363745100590402E-2</v>
      </c>
      <c r="R34" s="80">
        <v>16.420000000000002</v>
      </c>
      <c r="S34" s="78">
        <f t="shared" si="5"/>
        <v>2.7985001040242823</v>
      </c>
      <c r="T34" s="79">
        <f t="shared" si="14"/>
        <v>0.10840027696790488</v>
      </c>
      <c r="U34" s="80">
        <v>5.3316666666666661</v>
      </c>
      <c r="V34" s="78">
        <f t="shared" si="6"/>
        <v>1.6736638847333716</v>
      </c>
      <c r="W34" s="79">
        <f t="shared" si="15"/>
        <v>0.19082306957576253</v>
      </c>
      <c r="X34" s="80">
        <v>3.0325000000000002</v>
      </c>
      <c r="Y34" s="78">
        <f t="shared" si="7"/>
        <v>1.1093873618360681</v>
      </c>
      <c r="Z34" s="79">
        <f t="shared" si="16"/>
        <v>0.15778669192515404</v>
      </c>
      <c r="AA34" s="80">
        <v>3.1425000000000001</v>
      </c>
      <c r="AB34" s="78">
        <f t="shared" si="8"/>
        <v>1.1450186614822655</v>
      </c>
      <c r="AC34" s="79">
        <f t="shared" si="17"/>
        <v>0.40577366462373021</v>
      </c>
    </row>
    <row r="35" spans="2:29" x14ac:dyDescent="0.3">
      <c r="B35" s="21">
        <v>1991</v>
      </c>
      <c r="C35" s="78">
        <v>47.88</v>
      </c>
      <c r="D35" s="78">
        <f t="shared" si="0"/>
        <v>3.8686978806897723</v>
      </c>
      <c r="E35" s="79">
        <f t="shared" si="9"/>
        <v>6.0135800206951133E-3</v>
      </c>
      <c r="F35" s="80">
        <v>14.46</v>
      </c>
      <c r="G35" s="78">
        <f t="shared" si="1"/>
        <v>2.6713862167306188</v>
      </c>
      <c r="H35" s="79">
        <f t="shared" si="10"/>
        <v>3.9397604865629939E-2</v>
      </c>
      <c r="I35" s="80">
        <v>25.88</v>
      </c>
      <c r="J35" s="78">
        <f t="shared" si="2"/>
        <v>3.2534704696326999</v>
      </c>
      <c r="K35" s="79">
        <f t="shared" si="11"/>
        <v>3.0736881317076761E-2</v>
      </c>
      <c r="L35" s="80">
        <v>18.260000000000002</v>
      </c>
      <c r="M35" s="78">
        <f t="shared" si="3"/>
        <v>2.9047128751668225</v>
      </c>
      <c r="N35" s="79">
        <f t="shared" si="12"/>
        <v>6.4318782755438633E-2</v>
      </c>
      <c r="O35" s="80">
        <v>11.97</v>
      </c>
      <c r="P35" s="78">
        <f t="shared" si="4"/>
        <v>2.4824035195698819</v>
      </c>
      <c r="Q35" s="79">
        <f t="shared" si="13"/>
        <v>4.2952175127945302E-2</v>
      </c>
      <c r="R35" s="80">
        <v>13.54</v>
      </c>
      <c r="S35" s="78">
        <f t="shared" si="5"/>
        <v>2.605648267484129</v>
      </c>
      <c r="T35" s="79">
        <f t="shared" si="14"/>
        <v>0.10503020688771873</v>
      </c>
      <c r="U35" s="80">
        <v>7.0766666666666671</v>
      </c>
      <c r="V35" s="78">
        <f t="shared" si="6"/>
        <v>1.9568029870470551</v>
      </c>
      <c r="W35" s="79">
        <f t="shared" si="15"/>
        <v>0.23481770723657025</v>
      </c>
      <c r="X35" s="80">
        <v>5.0116666666666667</v>
      </c>
      <c r="Y35" s="78">
        <f t="shared" si="7"/>
        <v>1.6117685277723828</v>
      </c>
      <c r="Z35" s="79">
        <f t="shared" si="16"/>
        <v>0.29019606586204033</v>
      </c>
      <c r="AA35" s="80">
        <v>7.0445833333333328</v>
      </c>
      <c r="AB35" s="78">
        <f t="shared" si="8"/>
        <v>1.9522590000009294</v>
      </c>
      <c r="AC35" s="79">
        <f t="shared" si="17"/>
        <v>1.0992796921645476E-2</v>
      </c>
    </row>
    <row r="36" spans="2:29" x14ac:dyDescent="0.3">
      <c r="B36" s="21">
        <v>1992</v>
      </c>
      <c r="C36" s="78">
        <v>40.08</v>
      </c>
      <c r="D36" s="78">
        <f t="shared" si="0"/>
        <v>3.6908774567766094</v>
      </c>
      <c r="E36" s="79">
        <f t="shared" si="9"/>
        <v>9.5180278157318606E-3</v>
      </c>
      <c r="F36" s="80">
        <v>22.259999999999998</v>
      </c>
      <c r="G36" s="78">
        <f t="shared" si="1"/>
        <v>3.1027913458473986</v>
      </c>
      <c r="H36" s="79">
        <f t="shared" si="10"/>
        <v>4.3508340610482532E-2</v>
      </c>
      <c r="I36" s="80">
        <v>14.76</v>
      </c>
      <c r="J36" s="78">
        <f t="shared" si="2"/>
        <v>2.6919208191723265</v>
      </c>
      <c r="K36" s="79">
        <f t="shared" si="11"/>
        <v>4.4677631875379757E-2</v>
      </c>
      <c r="L36" s="80">
        <v>20.440000000000001</v>
      </c>
      <c r="M36" s="78">
        <f t="shared" si="3"/>
        <v>3.0174937653355038</v>
      </c>
      <c r="N36" s="79">
        <f t="shared" si="12"/>
        <v>5.6777147506028011E-2</v>
      </c>
      <c r="O36" s="80">
        <v>34.369999999999997</v>
      </c>
      <c r="P36" s="78">
        <f t="shared" si="4"/>
        <v>3.5371840908617425</v>
      </c>
      <c r="Q36" s="79">
        <f t="shared" si="13"/>
        <v>1.0956870081606923E-3</v>
      </c>
      <c r="R36" s="80">
        <v>15.105</v>
      </c>
      <c r="S36" s="78">
        <f t="shared" si="5"/>
        <v>2.7150258148386355</v>
      </c>
      <c r="T36" s="79">
        <f t="shared" si="14"/>
        <v>0.11745432855285853</v>
      </c>
      <c r="U36" s="80">
        <v>6.3866666666666667</v>
      </c>
      <c r="V36" s="78">
        <f t="shared" si="6"/>
        <v>1.8542124838746048</v>
      </c>
      <c r="W36" s="79">
        <f t="shared" si="15"/>
        <v>0.25733456690023393</v>
      </c>
      <c r="X36" s="80">
        <v>3.7250000000000001</v>
      </c>
      <c r="Y36" s="78">
        <f t="shared" si="7"/>
        <v>1.3150668518315229</v>
      </c>
      <c r="Z36" s="79">
        <f t="shared" si="16"/>
        <v>0.34257826829302901</v>
      </c>
      <c r="AA36" s="80">
        <v>1.9729166666666667</v>
      </c>
      <c r="AB36" s="78">
        <f t="shared" si="8"/>
        <v>0.67951298928414161</v>
      </c>
      <c r="AC36" s="79">
        <f t="shared" si="17"/>
        <v>0.10563744995891047</v>
      </c>
    </row>
    <row r="37" spans="2:29" x14ac:dyDescent="0.3">
      <c r="B37" s="21">
        <v>1993</v>
      </c>
      <c r="C37" s="78">
        <v>38.76</v>
      </c>
      <c r="D37" s="78">
        <f t="shared" ref="D37:D64" si="18">LN(C37)</f>
        <v>3.6573887870225654</v>
      </c>
      <c r="E37" s="79">
        <f t="shared" si="9"/>
        <v>1.0297412874446394E-2</v>
      </c>
      <c r="F37" s="80">
        <v>29.700000000000003</v>
      </c>
      <c r="G37" s="78">
        <f t="shared" ref="G37:G64" si="19">LN(F37)</f>
        <v>3.3911470458086539</v>
      </c>
      <c r="H37" s="79">
        <f t="shared" si="10"/>
        <v>2.5217023420339189E-2</v>
      </c>
      <c r="I37" s="80">
        <v>20.52</v>
      </c>
      <c r="J37" s="78">
        <f t="shared" ref="J37:J64" si="20">LN(I37)</f>
        <v>3.0214000203025688</v>
      </c>
      <c r="K37" s="79">
        <f t="shared" si="11"/>
        <v>4.3428027583507875E-2</v>
      </c>
      <c r="L37" s="80">
        <v>32.619999999999997</v>
      </c>
      <c r="M37" s="78">
        <f t="shared" ref="M37:M64" si="21">LN(L37)</f>
        <v>3.4849255971928677</v>
      </c>
      <c r="N37" s="79">
        <f t="shared" si="12"/>
        <v>1.0240727897549019E-2</v>
      </c>
      <c r="O37" s="80">
        <v>29.35</v>
      </c>
      <c r="P37" s="78">
        <f t="shared" ref="P37:P64" si="22">LN(O37)</f>
        <v>3.3792925462741055</v>
      </c>
      <c r="Q37" s="79">
        <f t="shared" si="13"/>
        <v>5.9896447541384111E-3</v>
      </c>
      <c r="R37" s="80">
        <v>19.77</v>
      </c>
      <c r="S37" s="78">
        <f t="shared" ref="S37:S64" si="23">LN(R37)</f>
        <v>2.9841656371825254</v>
      </c>
      <c r="T37" s="79">
        <f t="shared" si="14"/>
        <v>5.4246948503358823E-2</v>
      </c>
      <c r="U37" s="80">
        <v>5.6916666666666664</v>
      </c>
      <c r="V37" s="78">
        <f t="shared" ref="V37:V64" si="24">LN(U37)</f>
        <v>1.7390031167887441</v>
      </c>
      <c r="W37" s="79">
        <f t="shared" si="15"/>
        <v>0.22754022206460345</v>
      </c>
      <c r="X37" s="80">
        <v>5.2133333333333338</v>
      </c>
      <c r="Y37" s="78">
        <f t="shared" ref="Y37:Y64" si="25">LN(X37)</f>
        <v>1.6512194464490555</v>
      </c>
      <c r="Z37" s="79">
        <f t="shared" si="16"/>
        <v>0.25321280154764919</v>
      </c>
      <c r="AA37" s="80">
        <v>2.8245833333333334</v>
      </c>
      <c r="AB37" s="78">
        <f t="shared" ref="AB37:AB64" si="26">LN(AA37)</f>
        <v>1.0383608610949286</v>
      </c>
      <c r="AC37" s="79">
        <f t="shared" si="17"/>
        <v>0.37197009412643078</v>
      </c>
    </row>
    <row r="38" spans="2:29" x14ac:dyDescent="0.3">
      <c r="B38" s="21">
        <v>1994</v>
      </c>
      <c r="C38" s="78">
        <v>5.64</v>
      </c>
      <c r="D38" s="78">
        <f t="shared" si="18"/>
        <v>1.7298840655099674</v>
      </c>
      <c r="E38" s="79">
        <f t="shared" si="9"/>
        <v>1.5059321768803448E-2</v>
      </c>
      <c r="F38" s="80">
        <v>12.54</v>
      </c>
      <c r="G38" s="78">
        <f t="shared" si="19"/>
        <v>2.5289235352047745</v>
      </c>
      <c r="H38" s="79">
        <f t="shared" si="10"/>
        <v>2.9962543287244157E-2</v>
      </c>
      <c r="I38" s="80">
        <v>23.36</v>
      </c>
      <c r="J38" s="78">
        <f t="shared" si="20"/>
        <v>3.1510251579600261</v>
      </c>
      <c r="K38" s="79">
        <f t="shared" si="11"/>
        <v>3.7011486983876955E-2</v>
      </c>
      <c r="L38" s="80">
        <v>33.840000000000003</v>
      </c>
      <c r="M38" s="78">
        <f t="shared" si="21"/>
        <v>3.5216435347380228</v>
      </c>
      <c r="N38" s="79">
        <f t="shared" si="12"/>
        <v>8.2499596101552244E-3</v>
      </c>
      <c r="O38" s="80">
        <v>12.67</v>
      </c>
      <c r="P38" s="78">
        <f t="shared" si="22"/>
        <v>2.5392369943330477</v>
      </c>
      <c r="Q38" s="79">
        <f t="shared" si="13"/>
        <v>5.5856654696580327E-2</v>
      </c>
      <c r="R38" s="80">
        <v>14.77</v>
      </c>
      <c r="S38" s="78">
        <f t="shared" si="23"/>
        <v>2.6925980965432883</v>
      </c>
      <c r="T38" s="79">
        <f t="shared" si="14"/>
        <v>0.11711756149607165</v>
      </c>
      <c r="U38" s="80">
        <v>11.865</v>
      </c>
      <c r="V38" s="78">
        <f t="shared" si="24"/>
        <v>2.4735928898877271</v>
      </c>
      <c r="W38" s="79">
        <f t="shared" si="15"/>
        <v>8.299015853751715E-3</v>
      </c>
      <c r="X38" s="80">
        <v>3.9258333333333333</v>
      </c>
      <c r="Y38" s="78">
        <f t="shared" si="25"/>
        <v>1.3675786429239494</v>
      </c>
      <c r="Z38" s="79">
        <f t="shared" si="16"/>
        <v>0.37152376684792687</v>
      </c>
      <c r="AA38" s="80">
        <v>5.9716666666666667</v>
      </c>
      <c r="AB38" s="78">
        <f t="shared" si="26"/>
        <v>1.7870260620888074</v>
      </c>
      <c r="AC38" s="79">
        <f t="shared" si="17"/>
        <v>4.2496237491432637E-2</v>
      </c>
    </row>
    <row r="39" spans="2:29" x14ac:dyDescent="0.3">
      <c r="B39" s="21">
        <v>1995</v>
      </c>
      <c r="C39" s="78">
        <v>25.44</v>
      </c>
      <c r="D39" s="78">
        <f t="shared" si="18"/>
        <v>3.2363227384719213</v>
      </c>
      <c r="E39" s="79">
        <f t="shared" si="9"/>
        <v>2.2451194085346925E-2</v>
      </c>
      <c r="F39" s="80">
        <v>8.1000000000000014</v>
      </c>
      <c r="G39" s="78">
        <f t="shared" si="19"/>
        <v>2.0918640616783932</v>
      </c>
      <c r="H39" s="79">
        <f t="shared" si="10"/>
        <v>6.131876768069147E-3</v>
      </c>
      <c r="I39" s="80">
        <v>7.32</v>
      </c>
      <c r="J39" s="78">
        <f t="shared" si="20"/>
        <v>1.9906103279732201</v>
      </c>
      <c r="K39" s="79">
        <f t="shared" si="11"/>
        <v>7.7940185055187881E-3</v>
      </c>
      <c r="L39" s="80">
        <v>15.68</v>
      </c>
      <c r="M39" s="78">
        <f t="shared" si="21"/>
        <v>2.7523860149222616</v>
      </c>
      <c r="N39" s="79">
        <f t="shared" si="12"/>
        <v>6.3703447856012174E-2</v>
      </c>
      <c r="O39" s="80">
        <v>14.12</v>
      </c>
      <c r="P39" s="78">
        <f t="shared" si="22"/>
        <v>2.647592232065096</v>
      </c>
      <c r="Q39" s="79">
        <f t="shared" si="13"/>
        <v>7.9706411656796622E-2</v>
      </c>
      <c r="R39" s="80">
        <v>19.065000000000001</v>
      </c>
      <c r="S39" s="78">
        <f t="shared" si="23"/>
        <v>2.947854193309527</v>
      </c>
      <c r="T39" s="79">
        <f t="shared" si="14"/>
        <v>6.5674396406565735E-2</v>
      </c>
      <c r="U39" s="80">
        <v>4.9016666666666664</v>
      </c>
      <c r="V39" s="78">
        <f t="shared" si="24"/>
        <v>1.5895752833378487</v>
      </c>
      <c r="W39" s="79">
        <f t="shared" si="15"/>
        <v>0.13587803580002156</v>
      </c>
      <c r="X39" s="80">
        <v>4.1391666666666671</v>
      </c>
      <c r="Y39" s="78">
        <f t="shared" si="25"/>
        <v>1.4204944793312588</v>
      </c>
      <c r="Z39" s="79">
        <f t="shared" si="16"/>
        <v>0.38424583239505861</v>
      </c>
      <c r="AA39" s="80">
        <v>3.4520833333333329</v>
      </c>
      <c r="AB39" s="78">
        <f t="shared" si="26"/>
        <v>1.2389779135246262</v>
      </c>
      <c r="AC39" s="79">
        <f t="shared" si="17"/>
        <v>0.3928386089878273</v>
      </c>
    </row>
    <row r="40" spans="2:29" x14ac:dyDescent="0.3">
      <c r="B40" s="21">
        <v>1996</v>
      </c>
      <c r="C40" s="78">
        <v>56.28</v>
      </c>
      <c r="D40" s="78">
        <f t="shared" si="18"/>
        <v>4.0303392322461882</v>
      </c>
      <c r="E40" s="79">
        <f t="shared" si="9"/>
        <v>3.7299200255133673E-3</v>
      </c>
      <c r="F40" s="80">
        <v>43.92</v>
      </c>
      <c r="G40" s="78">
        <f t="shared" si="19"/>
        <v>3.7823697972012753</v>
      </c>
      <c r="H40" s="79">
        <f t="shared" si="10"/>
        <v>5.4949774065849661E-3</v>
      </c>
      <c r="I40" s="80">
        <v>33.96</v>
      </c>
      <c r="J40" s="78">
        <f t="shared" si="20"/>
        <v>3.5251833614431467</v>
      </c>
      <c r="K40" s="79">
        <f t="shared" si="11"/>
        <v>1.4566314690467418E-2</v>
      </c>
      <c r="L40" s="80">
        <v>19.739999999999998</v>
      </c>
      <c r="M40" s="78">
        <f t="shared" si="21"/>
        <v>2.9826470340053355</v>
      </c>
      <c r="N40" s="79">
        <f t="shared" si="12"/>
        <v>5.9718600150359763E-2</v>
      </c>
      <c r="O40" s="80">
        <v>15.05</v>
      </c>
      <c r="P40" s="78">
        <f t="shared" si="22"/>
        <v>2.711377991194885</v>
      </c>
      <c r="Q40" s="79">
        <f t="shared" si="13"/>
        <v>8.9885079705237708E-2</v>
      </c>
      <c r="R40" s="80">
        <v>14.06</v>
      </c>
      <c r="S40" s="78">
        <f t="shared" si="23"/>
        <v>2.6433338863825191</v>
      </c>
      <c r="T40" s="79">
        <f t="shared" si="14"/>
        <v>0.11223017520676364</v>
      </c>
      <c r="U40" s="80">
        <v>6.6316666666666668</v>
      </c>
      <c r="V40" s="78">
        <f t="shared" si="24"/>
        <v>1.8918561552107822</v>
      </c>
      <c r="W40" s="79">
        <f t="shared" si="15"/>
        <v>0.25436905769559576</v>
      </c>
      <c r="X40" s="80">
        <v>4.5241666666666669</v>
      </c>
      <c r="Y40" s="78">
        <f t="shared" si="25"/>
        <v>1.5094333981293595</v>
      </c>
      <c r="Z40" s="79">
        <f t="shared" si="16"/>
        <v>0.36473453099663361</v>
      </c>
      <c r="AA40" s="80">
        <v>3.0525000000000002</v>
      </c>
      <c r="AB40" s="78">
        <f t="shared" si="26"/>
        <v>1.1159609270027229</v>
      </c>
      <c r="AC40" s="79">
        <f t="shared" si="17"/>
        <v>0.40147285001414651</v>
      </c>
    </row>
    <row r="41" spans="2:29" x14ac:dyDescent="0.3">
      <c r="B41" s="21">
        <v>1997</v>
      </c>
      <c r="C41" s="78">
        <v>12.36</v>
      </c>
      <c r="D41" s="78">
        <f t="shared" si="18"/>
        <v>2.5144654520295449</v>
      </c>
      <c r="E41" s="79">
        <f t="shared" si="9"/>
        <v>3.45287802194486E-2</v>
      </c>
      <c r="F41" s="80">
        <v>21.9</v>
      </c>
      <c r="G41" s="78">
        <f t="shared" si="19"/>
        <v>3.0864866368224551</v>
      </c>
      <c r="H41" s="79">
        <f t="shared" si="10"/>
        <v>4.421886283389085E-2</v>
      </c>
      <c r="I41" s="80">
        <v>33.119999999999997</v>
      </c>
      <c r="J41" s="78">
        <f t="shared" si="20"/>
        <v>3.500137329517059</v>
      </c>
      <c r="K41" s="79">
        <f t="shared" si="11"/>
        <v>1.5847068202159517E-2</v>
      </c>
      <c r="L41" s="80">
        <v>34.340000000000003</v>
      </c>
      <c r="M41" s="78">
        <f t="shared" si="21"/>
        <v>3.5363108554693294</v>
      </c>
      <c r="N41" s="79">
        <f t="shared" si="12"/>
        <v>7.5423679527756946E-3</v>
      </c>
      <c r="O41" s="80">
        <v>18.14</v>
      </c>
      <c r="P41" s="78">
        <f t="shared" si="22"/>
        <v>2.8981194446869907</v>
      </c>
      <c r="Q41" s="79">
        <f t="shared" si="13"/>
        <v>8.7411808060525856E-2</v>
      </c>
      <c r="R41" s="80">
        <v>20.295000000000002</v>
      </c>
      <c r="S41" s="78">
        <f t="shared" si="23"/>
        <v>3.010374550290861</v>
      </c>
      <c r="T41" s="79">
        <f t="shared" si="14"/>
        <v>4.6465919552066637E-2</v>
      </c>
      <c r="U41" s="80">
        <v>7.498333333333334</v>
      </c>
      <c r="V41" s="78">
        <f t="shared" si="24"/>
        <v>2.0146807736250261</v>
      </c>
      <c r="W41" s="79">
        <f t="shared" si="15"/>
        <v>0.20510970617687174</v>
      </c>
      <c r="X41" s="80">
        <v>4.3049999999999997</v>
      </c>
      <c r="Y41" s="78">
        <f t="shared" si="25"/>
        <v>1.459777137879694</v>
      </c>
      <c r="Z41" s="79">
        <f t="shared" si="16"/>
        <v>0.38186685975942392</v>
      </c>
      <c r="AA41" s="80">
        <v>3.0766666666666667</v>
      </c>
      <c r="AB41" s="78">
        <f t="shared" si="26"/>
        <v>1.1238467598466511</v>
      </c>
      <c r="AC41" s="79">
        <f t="shared" si="17"/>
        <v>0.40302448978573363</v>
      </c>
    </row>
    <row r="42" spans="2:29" x14ac:dyDescent="0.3">
      <c r="B42" s="21">
        <v>1998</v>
      </c>
      <c r="C42" s="78">
        <v>27.72</v>
      </c>
      <c r="D42" s="78">
        <f t="shared" si="18"/>
        <v>3.3221541743217022</v>
      </c>
      <c r="E42" s="79">
        <f t="shared" si="9"/>
        <v>1.9767693731394902E-2</v>
      </c>
      <c r="F42" s="80">
        <v>19.440000000000001</v>
      </c>
      <c r="G42" s="78">
        <f t="shared" si="19"/>
        <v>2.9673327990322931</v>
      </c>
      <c r="H42" s="79">
        <f t="shared" si="10"/>
        <v>4.7463236115386769E-2</v>
      </c>
      <c r="I42" s="80">
        <v>14.84</v>
      </c>
      <c r="J42" s="78">
        <f t="shared" si="20"/>
        <v>2.6973262377392344</v>
      </c>
      <c r="K42" s="79">
        <f t="shared" si="11"/>
        <v>4.4852759398228859E-2</v>
      </c>
      <c r="L42" s="80">
        <v>37.46</v>
      </c>
      <c r="M42" s="78">
        <f t="shared" si="21"/>
        <v>3.6232736970159425</v>
      </c>
      <c r="N42" s="79">
        <f t="shared" si="12"/>
        <v>4.2626815954140357E-3</v>
      </c>
      <c r="O42" s="80">
        <v>18.32</v>
      </c>
      <c r="P42" s="78">
        <f t="shared" si="22"/>
        <v>2.9079933592459843</v>
      </c>
      <c r="Q42" s="79">
        <f t="shared" si="13"/>
        <v>8.5918294562806599E-2</v>
      </c>
      <c r="R42" s="80">
        <v>19.395</v>
      </c>
      <c r="S42" s="78">
        <f t="shared" si="23"/>
        <v>2.9650153008919307</v>
      </c>
      <c r="T42" s="79">
        <f t="shared" si="14"/>
        <v>6.0204291918717609E-2</v>
      </c>
      <c r="U42" s="80">
        <v>11.701666666666666</v>
      </c>
      <c r="V42" s="78">
        <f t="shared" si="24"/>
        <v>2.4597312818011026</v>
      </c>
      <c r="W42" s="79">
        <f t="shared" si="15"/>
        <v>9.6653908079524092E-3</v>
      </c>
      <c r="X42" s="80">
        <v>5.854166666666667</v>
      </c>
      <c r="Y42" s="78">
        <f t="shared" si="25"/>
        <v>1.7671536584258549</v>
      </c>
      <c r="Z42" s="79">
        <f t="shared" si="16"/>
        <v>0.14524106498923228</v>
      </c>
      <c r="AA42" s="80">
        <v>4.7308333333333339</v>
      </c>
      <c r="AB42" s="78">
        <f t="shared" si="26"/>
        <v>1.5541013673946347</v>
      </c>
      <c r="AC42" s="79">
        <f t="shared" si="17"/>
        <v>0.16719374796688696</v>
      </c>
    </row>
    <row r="43" spans="2:29" x14ac:dyDescent="0.3">
      <c r="B43" s="21">
        <v>1999</v>
      </c>
      <c r="C43" s="78">
        <v>25.799999999999997</v>
      </c>
      <c r="D43" s="78">
        <f t="shared" si="18"/>
        <v>3.2503744919275714</v>
      </c>
      <c r="E43" s="79">
        <f t="shared" si="9"/>
        <v>2.2012518717833551E-2</v>
      </c>
      <c r="F43" s="80">
        <v>17.28</v>
      </c>
      <c r="G43" s="78">
        <f t="shared" si="19"/>
        <v>2.8495497633759097</v>
      </c>
      <c r="H43" s="79">
        <f t="shared" si="10"/>
        <v>4.6884400150721366E-2</v>
      </c>
      <c r="I43" s="80">
        <v>25.12</v>
      </c>
      <c r="J43" s="78">
        <f t="shared" si="20"/>
        <v>3.2236643415999979</v>
      </c>
      <c r="K43" s="79">
        <f t="shared" si="11"/>
        <v>3.2619865230930196E-2</v>
      </c>
      <c r="L43" s="80">
        <v>16.14</v>
      </c>
      <c r="M43" s="78">
        <f t="shared" si="21"/>
        <v>2.7813006628418027</v>
      </c>
      <c r="N43" s="79">
        <f t="shared" si="12"/>
        <v>6.4831901858064644E-2</v>
      </c>
      <c r="O43" s="80">
        <v>18.41</v>
      </c>
      <c r="P43" s="78">
        <f t="shared" si="22"/>
        <v>2.9128939952449864</v>
      </c>
      <c r="Q43" s="79">
        <f t="shared" si="13"/>
        <v>8.5136483664013496E-2</v>
      </c>
      <c r="R43" s="80">
        <v>14.395</v>
      </c>
      <c r="S43" s="78">
        <f t="shared" si="23"/>
        <v>2.6668809240641393</v>
      </c>
      <c r="T43" s="79">
        <f t="shared" si="14"/>
        <v>0.11525573238387296</v>
      </c>
      <c r="U43" s="80">
        <v>7.373333333333334</v>
      </c>
      <c r="V43" s="78">
        <f t="shared" si="24"/>
        <v>1.9978698879860244</v>
      </c>
      <c r="W43" s="79">
        <f t="shared" si="15"/>
        <v>0.21465838699578502</v>
      </c>
      <c r="X43" s="80">
        <v>4.2183333333333328</v>
      </c>
      <c r="Y43" s="78">
        <f t="shared" si="25"/>
        <v>1.4394401053289776</v>
      </c>
      <c r="Z43" s="79">
        <f t="shared" si="16"/>
        <v>0.38437052890200657</v>
      </c>
      <c r="AA43" s="80">
        <v>3.0141666666666667</v>
      </c>
      <c r="AB43" s="78">
        <f t="shared" si="26"/>
        <v>1.1033233961760063</v>
      </c>
      <c r="AC43" s="79">
        <f t="shared" si="17"/>
        <v>0.39840061045004516</v>
      </c>
    </row>
    <row r="44" spans="2:29" x14ac:dyDescent="0.3">
      <c r="B44" s="21">
        <v>2000</v>
      </c>
      <c r="C44" s="78">
        <v>26.64</v>
      </c>
      <c r="D44" s="78">
        <f t="shared" si="18"/>
        <v>3.2824138456721883</v>
      </c>
      <c r="E44" s="79">
        <f t="shared" si="9"/>
        <v>2.1009990298890752E-2</v>
      </c>
      <c r="F44" s="80">
        <v>8.64</v>
      </c>
      <c r="G44" s="78">
        <f t="shared" si="19"/>
        <v>2.1564025828159643</v>
      </c>
      <c r="H44" s="79">
        <f t="shared" si="10"/>
        <v>8.3197380898992531E-3</v>
      </c>
      <c r="I44" s="80">
        <v>19.16</v>
      </c>
      <c r="J44" s="78">
        <f t="shared" si="20"/>
        <v>2.9528247725427144</v>
      </c>
      <c r="K44" s="79">
        <f t="shared" si="11"/>
        <v>4.5682686683062475E-2</v>
      </c>
      <c r="L44" s="80">
        <v>30.52</v>
      </c>
      <c r="M44" s="78">
        <f t="shared" si="21"/>
        <v>3.4183822064162563</v>
      </c>
      <c r="N44" s="79">
        <f t="shared" si="12"/>
        <v>1.469968694309487E-2</v>
      </c>
      <c r="O44" s="80">
        <v>18.22</v>
      </c>
      <c r="P44" s="78">
        <f t="shared" si="22"/>
        <v>2.9025198918318122</v>
      </c>
      <c r="Q44" s="79">
        <f t="shared" si="13"/>
        <v>8.6759983241216532E-2</v>
      </c>
      <c r="R44" s="80">
        <v>13.074999999999999</v>
      </c>
      <c r="S44" s="78">
        <f t="shared" si="23"/>
        <v>2.5707020099509865</v>
      </c>
      <c r="T44" s="79">
        <f t="shared" si="14"/>
        <v>9.6222418932323459E-2</v>
      </c>
      <c r="U44" s="80">
        <v>8.7366666666666664</v>
      </c>
      <c r="V44" s="78">
        <f t="shared" si="24"/>
        <v>2.1675287286672051</v>
      </c>
      <c r="W44" s="79">
        <f t="shared" si="15"/>
        <v>0.10738136703726744</v>
      </c>
      <c r="X44" s="80">
        <v>3.5500000000000003</v>
      </c>
      <c r="Y44" s="78">
        <f t="shared" si="25"/>
        <v>1.2669476034873246</v>
      </c>
      <c r="Z44" s="79">
        <f t="shared" si="16"/>
        <v>0.30504248552288649</v>
      </c>
      <c r="AA44" s="80">
        <v>4.4770833333333337</v>
      </c>
      <c r="AB44" s="78">
        <f t="shared" si="26"/>
        <v>1.4989717927405739</v>
      </c>
      <c r="AC44" s="79">
        <f t="shared" si="17"/>
        <v>0.21092459185252563</v>
      </c>
    </row>
    <row r="45" spans="2:29" x14ac:dyDescent="0.3">
      <c r="B45" s="21">
        <v>2001</v>
      </c>
      <c r="C45" s="78">
        <v>30.240000000000002</v>
      </c>
      <c r="D45" s="78">
        <f t="shared" si="18"/>
        <v>3.4091655513113324</v>
      </c>
      <c r="E45" s="79">
        <f t="shared" si="9"/>
        <v>1.7089980988584972E-2</v>
      </c>
      <c r="F45" s="80">
        <v>15</v>
      </c>
      <c r="G45" s="78">
        <f t="shared" si="19"/>
        <v>2.7080502011022101</v>
      </c>
      <c r="H45" s="79">
        <f t="shared" si="10"/>
        <v>4.1462946920876431E-2</v>
      </c>
      <c r="I45" s="80">
        <v>31.88</v>
      </c>
      <c r="J45" s="78">
        <f t="shared" si="20"/>
        <v>3.4619788539220142</v>
      </c>
      <c r="K45" s="79">
        <f t="shared" si="11"/>
        <v>1.7909837276433388E-2</v>
      </c>
      <c r="L45" s="80">
        <v>21.44</v>
      </c>
      <c r="M45" s="78">
        <f t="shared" si="21"/>
        <v>3.0652583362026014</v>
      </c>
      <c r="N45" s="79">
        <f t="shared" si="12"/>
        <v>5.2065439410344146E-2</v>
      </c>
      <c r="O45" s="80">
        <v>16.93</v>
      </c>
      <c r="P45" s="78">
        <f t="shared" si="22"/>
        <v>2.8290871961450441</v>
      </c>
      <c r="Q45" s="79">
        <f t="shared" si="13"/>
        <v>9.4339721958900322E-2</v>
      </c>
      <c r="R45" s="80">
        <v>13.2</v>
      </c>
      <c r="S45" s="78">
        <f t="shared" si="23"/>
        <v>2.5802168295923251</v>
      </c>
      <c r="T45" s="79">
        <f t="shared" si="14"/>
        <v>9.8790123677191644E-2</v>
      </c>
      <c r="U45" s="80">
        <v>4.9683333333333328</v>
      </c>
      <c r="V45" s="78">
        <f t="shared" si="24"/>
        <v>1.6030844384619249</v>
      </c>
      <c r="W45" s="79">
        <f t="shared" si="15"/>
        <v>0.14473391257824719</v>
      </c>
      <c r="X45" s="80">
        <v>4.6916666666666664</v>
      </c>
      <c r="Y45" s="78">
        <f t="shared" si="25"/>
        <v>1.5457878853576443</v>
      </c>
      <c r="Z45" s="79">
        <f t="shared" si="16"/>
        <v>0.34330607502434546</v>
      </c>
      <c r="AA45" s="80">
        <v>2.6708333333333329</v>
      </c>
      <c r="AB45" s="78">
        <f t="shared" si="26"/>
        <v>0.98239053357867856</v>
      </c>
      <c r="AC45" s="79">
        <f t="shared" si="17"/>
        <v>0.33714817828309979</v>
      </c>
    </row>
    <row r="46" spans="2:29" x14ac:dyDescent="0.3">
      <c r="B46" s="21">
        <v>2002</v>
      </c>
      <c r="C46" s="78">
        <v>60</v>
      </c>
      <c r="D46" s="78">
        <f t="shared" si="18"/>
        <v>4.0943445622221004</v>
      </c>
      <c r="E46" s="79">
        <f t="shared" si="9"/>
        <v>3.0386124393048334E-3</v>
      </c>
      <c r="F46" s="80">
        <v>45.72</v>
      </c>
      <c r="G46" s="78">
        <f t="shared" si="19"/>
        <v>3.8225358389266098</v>
      </c>
      <c r="H46" s="79">
        <f t="shared" si="10"/>
        <v>4.4652571376661626E-3</v>
      </c>
      <c r="I46" s="80">
        <v>23</v>
      </c>
      <c r="J46" s="78">
        <f t="shared" si="20"/>
        <v>3.1354942159291497</v>
      </c>
      <c r="K46" s="79">
        <f t="shared" si="11"/>
        <v>3.7894726027598413E-2</v>
      </c>
      <c r="L46" s="80">
        <v>15.02</v>
      </c>
      <c r="M46" s="78">
        <f t="shared" si="21"/>
        <v>2.7093826463359885</v>
      </c>
      <c r="N46" s="79">
        <f t="shared" si="12"/>
        <v>6.1220802378895628E-2</v>
      </c>
      <c r="O46" s="80">
        <v>14.4</v>
      </c>
      <c r="P46" s="78">
        <f t="shared" si="22"/>
        <v>2.6672282065819548</v>
      </c>
      <c r="Q46" s="79">
        <f t="shared" si="13"/>
        <v>8.3294630536844133E-2</v>
      </c>
      <c r="R46" s="80">
        <v>16.715</v>
      </c>
      <c r="S46" s="78">
        <f t="shared" si="23"/>
        <v>2.8163065198720618</v>
      </c>
      <c r="T46" s="79">
        <f t="shared" si="14"/>
        <v>0.10460309867977478</v>
      </c>
      <c r="U46" s="80">
        <v>8.5250000000000004</v>
      </c>
      <c r="V46" s="78">
        <f t="shared" si="24"/>
        <v>2.1430030231695807</v>
      </c>
      <c r="W46" s="79">
        <f t="shared" si="15"/>
        <v>0.12255491370478969</v>
      </c>
      <c r="X46" s="80">
        <v>4.2</v>
      </c>
      <c r="Y46" s="78">
        <f t="shared" si="25"/>
        <v>1.4350845252893227</v>
      </c>
      <c r="Z46" s="79">
        <f t="shared" si="16"/>
        <v>0.384552355271505</v>
      </c>
      <c r="AA46" s="80">
        <v>3.7100000000000004</v>
      </c>
      <c r="AB46" s="78">
        <f t="shared" si="26"/>
        <v>1.3110318766193438</v>
      </c>
      <c r="AC46" s="79">
        <f t="shared" si="17"/>
        <v>0.35758399794305479</v>
      </c>
    </row>
    <row r="47" spans="2:29" x14ac:dyDescent="0.3">
      <c r="B47" s="21">
        <v>2003</v>
      </c>
      <c r="C47" s="78">
        <v>7.68</v>
      </c>
      <c r="D47" s="78">
        <f t="shared" si="18"/>
        <v>2.0386195471595809</v>
      </c>
      <c r="E47" s="79">
        <f t="shared" si="9"/>
        <v>2.4528104749666095E-2</v>
      </c>
      <c r="F47" s="80">
        <v>21.419999999999998</v>
      </c>
      <c r="G47" s="78">
        <f t="shared" si="19"/>
        <v>3.0643250650196028</v>
      </c>
      <c r="H47" s="79">
        <f t="shared" si="10"/>
        <v>4.5089811250430656E-2</v>
      </c>
      <c r="I47" s="80">
        <v>48.8</v>
      </c>
      <c r="J47" s="78">
        <f t="shared" si="20"/>
        <v>3.8877303128591016</v>
      </c>
      <c r="K47" s="79">
        <f t="shared" si="11"/>
        <v>3.0273545623076214E-3</v>
      </c>
      <c r="L47" s="80">
        <v>39.659999999999997</v>
      </c>
      <c r="M47" s="78">
        <f t="shared" si="21"/>
        <v>3.6803431230916499</v>
      </c>
      <c r="N47" s="79">
        <f t="shared" si="12"/>
        <v>2.8268781904166366E-3</v>
      </c>
      <c r="O47" s="80">
        <v>13.3</v>
      </c>
      <c r="P47" s="78">
        <f t="shared" si="22"/>
        <v>2.5877640352277083</v>
      </c>
      <c r="Q47" s="79">
        <f t="shared" si="13"/>
        <v>6.7060397275173683E-2</v>
      </c>
      <c r="R47" s="80">
        <v>19.285</v>
      </c>
      <c r="S47" s="78">
        <f t="shared" si="23"/>
        <v>2.9593275916601911</v>
      </c>
      <c r="T47" s="79">
        <f t="shared" si="14"/>
        <v>6.2006405945230381E-2</v>
      </c>
      <c r="U47" s="80">
        <v>7.5666666666666664</v>
      </c>
      <c r="V47" s="78">
        <f t="shared" si="24"/>
        <v>2.0237526358192475</v>
      </c>
      <c r="W47" s="79">
        <f t="shared" si="15"/>
        <v>0.19971194074823934</v>
      </c>
      <c r="X47" s="80">
        <v>3.3224999999999998</v>
      </c>
      <c r="Y47" s="78">
        <f t="shared" si="25"/>
        <v>1.2007175116052633</v>
      </c>
      <c r="Z47" s="79">
        <f t="shared" si="16"/>
        <v>0.24358638476537436</v>
      </c>
      <c r="AA47" s="80">
        <v>3.0520833333333335</v>
      </c>
      <c r="AB47" s="78">
        <f t="shared" si="26"/>
        <v>1.1158244175492311</v>
      </c>
      <c r="AC47" s="79">
        <f t="shared" si="17"/>
        <v>0.40144349995211914</v>
      </c>
    </row>
    <row r="48" spans="2:29" x14ac:dyDescent="0.3">
      <c r="B48" s="21">
        <v>2004</v>
      </c>
      <c r="C48" s="78">
        <v>36.599999999999994</v>
      </c>
      <c r="D48" s="78">
        <f t="shared" si="18"/>
        <v>3.6000482404073204</v>
      </c>
      <c r="E48" s="79">
        <f t="shared" si="9"/>
        <v>1.1715774843913934E-2</v>
      </c>
      <c r="F48" s="80">
        <v>33.119999999999997</v>
      </c>
      <c r="G48" s="78">
        <f t="shared" si="19"/>
        <v>3.500137329517059</v>
      </c>
      <c r="H48" s="79">
        <f t="shared" si="10"/>
        <v>1.8060161794312298E-2</v>
      </c>
      <c r="I48" s="80">
        <v>28.56</v>
      </c>
      <c r="J48" s="78">
        <f t="shared" si="20"/>
        <v>3.3520071374713836</v>
      </c>
      <c r="K48" s="79">
        <f t="shared" si="11"/>
        <v>2.4466293825635643E-2</v>
      </c>
      <c r="L48" s="80">
        <v>12.92</v>
      </c>
      <c r="M48" s="78">
        <f t="shared" si="21"/>
        <v>2.5587764983544559</v>
      </c>
      <c r="N48" s="79">
        <f t="shared" si="12"/>
        <v>4.683815558536452E-2</v>
      </c>
      <c r="O48" s="80">
        <v>15.61</v>
      </c>
      <c r="P48" s="78">
        <f t="shared" si="22"/>
        <v>2.7479117345273405</v>
      </c>
      <c r="Q48" s="79">
        <f t="shared" si="13"/>
        <v>9.3467832166899981E-2</v>
      </c>
      <c r="R48" s="80">
        <v>17.585000000000001</v>
      </c>
      <c r="S48" s="78">
        <f t="shared" si="23"/>
        <v>2.8670462659259459</v>
      </c>
      <c r="T48" s="79">
        <f t="shared" si="14"/>
        <v>9.1176832398264449E-2</v>
      </c>
      <c r="U48" s="80">
        <v>8.1549999999999994</v>
      </c>
      <c r="V48" s="78">
        <f t="shared" si="24"/>
        <v>2.0986312360729773</v>
      </c>
      <c r="W48" s="79">
        <f t="shared" si="15"/>
        <v>0.15143634778768691</v>
      </c>
      <c r="X48" s="80">
        <v>5.2908333333333335</v>
      </c>
      <c r="Y48" s="78">
        <f t="shared" si="25"/>
        <v>1.6659757633943582</v>
      </c>
      <c r="Z48" s="79">
        <f t="shared" si="16"/>
        <v>0.23897199674373087</v>
      </c>
      <c r="AA48" s="80">
        <v>4.1095833333333331</v>
      </c>
      <c r="AB48" s="78">
        <f t="shared" si="26"/>
        <v>1.4133216446179564</v>
      </c>
      <c r="AC48" s="79">
        <f t="shared" si="17"/>
        <v>0.28223491389746608</v>
      </c>
    </row>
    <row r="49" spans="2:29" x14ac:dyDescent="0.3">
      <c r="B49" s="21">
        <v>2005</v>
      </c>
      <c r="C49" s="78">
        <v>13.68</v>
      </c>
      <c r="D49" s="78">
        <f t="shared" si="18"/>
        <v>2.6159349121944042</v>
      </c>
      <c r="E49" s="79">
        <f t="shared" si="9"/>
        <v>3.4827250450629642E-2</v>
      </c>
      <c r="F49" s="80">
        <v>19.02</v>
      </c>
      <c r="G49" s="78">
        <f t="shared" si="19"/>
        <v>2.9454910571172443</v>
      </c>
      <c r="H49" s="79">
        <f t="shared" si="10"/>
        <v>4.7648770422677386E-2</v>
      </c>
      <c r="I49" s="80">
        <v>8.4</v>
      </c>
      <c r="J49" s="78">
        <f t="shared" si="20"/>
        <v>2.1282317058492679</v>
      </c>
      <c r="K49" s="79">
        <f t="shared" si="11"/>
        <v>1.3327940351178428E-2</v>
      </c>
      <c r="L49" s="80">
        <v>18.940000000000001</v>
      </c>
      <c r="M49" s="78">
        <f t="shared" si="21"/>
        <v>2.9412760877579323</v>
      </c>
      <c r="N49" s="79">
        <f t="shared" si="12"/>
        <v>6.2533746740459861E-2</v>
      </c>
      <c r="O49" s="80">
        <v>21.26</v>
      </c>
      <c r="P49" s="78">
        <f t="shared" si="22"/>
        <v>3.0568273729138018</v>
      </c>
      <c r="Q49" s="79">
        <f t="shared" si="13"/>
        <v>5.4701493325331037E-2</v>
      </c>
      <c r="R49" s="80">
        <v>16.625</v>
      </c>
      <c r="S49" s="78">
        <f t="shared" si="23"/>
        <v>2.810907586541918</v>
      </c>
      <c r="T49" s="79">
        <f t="shared" si="14"/>
        <v>0.10581300460132795</v>
      </c>
      <c r="U49" s="80">
        <v>7.0799999999999992</v>
      </c>
      <c r="V49" s="78">
        <f t="shared" si="24"/>
        <v>1.9572739077056283</v>
      </c>
      <c r="W49" s="79">
        <f t="shared" si="15"/>
        <v>0.23461650365701575</v>
      </c>
      <c r="X49" s="80">
        <v>5.38</v>
      </c>
      <c r="Y49" s="78">
        <f t="shared" si="25"/>
        <v>1.6826883741736931</v>
      </c>
      <c r="Z49" s="79">
        <f t="shared" si="16"/>
        <v>0.2227961508006189</v>
      </c>
      <c r="AA49" s="80">
        <v>4.3795833333333336</v>
      </c>
      <c r="AB49" s="78">
        <f t="shared" si="26"/>
        <v>1.4769535904873174</v>
      </c>
      <c r="AC49" s="79">
        <f t="shared" si="17"/>
        <v>0.2291721131065107</v>
      </c>
    </row>
    <row r="50" spans="2:29" x14ac:dyDescent="0.3">
      <c r="B50" s="21">
        <v>2006</v>
      </c>
      <c r="C50" s="78">
        <v>23.52</v>
      </c>
      <c r="D50" s="78">
        <f t="shared" si="18"/>
        <v>3.1578511230304263</v>
      </c>
      <c r="E50" s="79">
        <f t="shared" si="9"/>
        <v>2.4867653739290715E-2</v>
      </c>
      <c r="F50" s="80">
        <v>31.56</v>
      </c>
      <c r="G50" s="78">
        <f t="shared" si="19"/>
        <v>3.4518904959776733</v>
      </c>
      <c r="H50" s="79">
        <f t="shared" si="10"/>
        <v>2.1117781254999884E-2</v>
      </c>
      <c r="I50" s="80">
        <v>12.36</v>
      </c>
      <c r="J50" s="78">
        <f t="shared" si="20"/>
        <v>2.5144654520295449</v>
      </c>
      <c r="K50" s="79">
        <f t="shared" si="11"/>
        <v>3.6232290473852839E-2</v>
      </c>
      <c r="L50" s="80">
        <v>13.78</v>
      </c>
      <c r="M50" s="78">
        <f t="shared" si="21"/>
        <v>2.6232182655855123</v>
      </c>
      <c r="N50" s="79">
        <f t="shared" si="12"/>
        <v>5.3826376083409351E-2</v>
      </c>
      <c r="O50" s="80">
        <v>17.940000000000001</v>
      </c>
      <c r="P50" s="78">
        <f t="shared" si="22"/>
        <v>2.88703285663065</v>
      </c>
      <c r="Q50" s="79">
        <f t="shared" si="13"/>
        <v>8.8951766109146541E-2</v>
      </c>
      <c r="R50" s="80">
        <v>19.864999999999998</v>
      </c>
      <c r="S50" s="78">
        <f t="shared" si="23"/>
        <v>2.988959389266562</v>
      </c>
      <c r="T50" s="79">
        <f t="shared" si="14"/>
        <v>5.2787985228909012E-2</v>
      </c>
      <c r="U50" s="80">
        <v>5.0249999999999995</v>
      </c>
      <c r="V50" s="78">
        <f t="shared" si="24"/>
        <v>1.6144254539451393</v>
      </c>
      <c r="W50" s="79">
        <f t="shared" si="15"/>
        <v>0.15222593088787589</v>
      </c>
      <c r="X50" s="80">
        <v>3.1791666666666667</v>
      </c>
      <c r="Y50" s="78">
        <f t="shared" si="25"/>
        <v>1.1566191079424657</v>
      </c>
      <c r="Z50" s="79">
        <f t="shared" si="16"/>
        <v>0.2010899746539129</v>
      </c>
      <c r="AA50" s="80">
        <v>3.9112500000000003</v>
      </c>
      <c r="AB50" s="78">
        <f t="shared" si="26"/>
        <v>1.3638570160009549</v>
      </c>
      <c r="AC50" s="79">
        <f t="shared" si="17"/>
        <v>0.32126966116806305</v>
      </c>
    </row>
    <row r="51" spans="2:29" x14ac:dyDescent="0.3">
      <c r="B51" s="21">
        <v>2007</v>
      </c>
      <c r="C51" s="78">
        <v>2.88</v>
      </c>
      <c r="D51" s="78">
        <f t="shared" si="18"/>
        <v>1.0577902941478545</v>
      </c>
      <c r="E51" s="79">
        <f t="shared" si="9"/>
        <v>2.5251260991848651E-3</v>
      </c>
      <c r="F51" s="80">
        <v>13.14</v>
      </c>
      <c r="G51" s="78">
        <f t="shared" si="19"/>
        <v>2.5756610130564646</v>
      </c>
      <c r="H51" s="79">
        <f t="shared" si="10"/>
        <v>3.3213172432412362E-2</v>
      </c>
      <c r="I51" s="80">
        <v>17.079999999999998</v>
      </c>
      <c r="J51" s="78">
        <f t="shared" si="20"/>
        <v>2.8379081883604238</v>
      </c>
      <c r="K51" s="79">
        <f t="shared" si="11"/>
        <v>4.7174057208780033E-2</v>
      </c>
      <c r="L51" s="80">
        <v>17.5</v>
      </c>
      <c r="M51" s="78">
        <f t="shared" si="21"/>
        <v>2.8622008809294686</v>
      </c>
      <c r="N51" s="79">
        <f t="shared" si="12"/>
        <v>6.548058091516594E-2</v>
      </c>
      <c r="O51" s="80">
        <v>29.27</v>
      </c>
      <c r="P51" s="78">
        <f t="shared" si="22"/>
        <v>3.3765631007037946</v>
      </c>
      <c r="Q51" s="79">
        <f t="shared" si="13"/>
        <v>6.1462233182679833E-3</v>
      </c>
      <c r="R51" s="80">
        <v>10.625</v>
      </c>
      <c r="S51" s="78">
        <f t="shared" si="23"/>
        <v>2.3632097148104805</v>
      </c>
      <c r="T51" s="79">
        <f t="shared" si="14"/>
        <v>3.4101125827669367E-2</v>
      </c>
      <c r="U51" s="80">
        <v>4.996666666666667</v>
      </c>
      <c r="V51" s="78">
        <f t="shared" si="24"/>
        <v>1.6087710234463968</v>
      </c>
      <c r="W51" s="79">
        <f t="shared" si="15"/>
        <v>0.1484862533098561</v>
      </c>
      <c r="X51" s="80">
        <v>3.1941666666666664</v>
      </c>
      <c r="Y51" s="78">
        <f t="shared" si="25"/>
        <v>1.1613262296044633</v>
      </c>
      <c r="Z51" s="79">
        <f t="shared" si="16"/>
        <v>0.20557571017236453</v>
      </c>
      <c r="AA51" s="80">
        <v>2.8087499999999999</v>
      </c>
      <c r="AB51" s="78">
        <f t="shared" si="26"/>
        <v>1.0327395445174019</v>
      </c>
      <c r="AC51" s="79">
        <f t="shared" si="17"/>
        <v>0.3689195812474127</v>
      </c>
    </row>
    <row r="52" spans="2:29" x14ac:dyDescent="0.3">
      <c r="B52" s="21">
        <v>2008</v>
      </c>
      <c r="C52" s="78">
        <v>18.600000000000001</v>
      </c>
      <c r="D52" s="78">
        <f t="shared" si="18"/>
        <v>2.9231615807191558</v>
      </c>
      <c r="E52" s="79">
        <f t="shared" si="9"/>
        <v>3.1143440458769479E-2</v>
      </c>
      <c r="F52" s="80">
        <v>14.34</v>
      </c>
      <c r="G52" s="78">
        <f t="shared" si="19"/>
        <v>2.6630528351714742</v>
      </c>
      <c r="H52" s="79">
        <f t="shared" si="10"/>
        <v>3.8899689539493021E-2</v>
      </c>
      <c r="I52" s="80">
        <v>17.2</v>
      </c>
      <c r="J52" s="78">
        <f t="shared" si="20"/>
        <v>2.8449093838194073</v>
      </c>
      <c r="K52" s="79">
        <f t="shared" si="11"/>
        <v>4.7170796435196692E-2</v>
      </c>
      <c r="L52" s="80">
        <v>17.52</v>
      </c>
      <c r="M52" s="78">
        <f t="shared" si="21"/>
        <v>2.8633430855082453</v>
      </c>
      <c r="N52" s="79">
        <f t="shared" si="12"/>
        <v>6.5462731225073623E-2</v>
      </c>
      <c r="O52" s="80">
        <v>27.16</v>
      </c>
      <c r="P52" s="78">
        <f t="shared" si="22"/>
        <v>3.3017453026904953</v>
      </c>
      <c r="Q52" s="79">
        <f t="shared" si="13"/>
        <v>1.1894925899579948E-2</v>
      </c>
      <c r="R52" s="80">
        <v>15.63</v>
      </c>
      <c r="S52" s="78">
        <f t="shared" si="23"/>
        <v>2.7491921444333851</v>
      </c>
      <c r="T52" s="79">
        <f t="shared" si="14"/>
        <v>0.11564668756877722</v>
      </c>
      <c r="U52" s="80">
        <v>9.4</v>
      </c>
      <c r="V52" s="78">
        <f t="shared" si="24"/>
        <v>2.2407096892759584</v>
      </c>
      <c r="W52" s="79">
        <f t="shared" si="15"/>
        <v>6.7872987749956731E-2</v>
      </c>
      <c r="X52" s="80">
        <v>4.8075000000000001</v>
      </c>
      <c r="Y52" s="78">
        <f t="shared" si="25"/>
        <v>1.5701771984807977</v>
      </c>
      <c r="Z52" s="79">
        <f t="shared" si="16"/>
        <v>0.32545949544696651</v>
      </c>
      <c r="AA52" s="80">
        <v>3.0350000000000001</v>
      </c>
      <c r="AB52" s="78">
        <f t="shared" si="26"/>
        <v>1.1102114245114616</v>
      </c>
      <c r="AC52" s="79">
        <f t="shared" si="17"/>
        <v>0.4001638421238759</v>
      </c>
    </row>
    <row r="53" spans="2:29" x14ac:dyDescent="0.3">
      <c r="B53" s="21">
        <v>2009</v>
      </c>
      <c r="C53" s="78">
        <v>37.68</v>
      </c>
      <c r="D53" s="78">
        <f t="shared" si="18"/>
        <v>3.6291294497081621</v>
      </c>
      <c r="E53" s="79">
        <f t="shared" si="9"/>
        <v>1.098347563605746E-2</v>
      </c>
      <c r="F53" s="80">
        <v>17.580000000000002</v>
      </c>
      <c r="G53" s="78">
        <f t="shared" si="19"/>
        <v>2.8667618922570313</v>
      </c>
      <c r="H53" s="79">
        <f t="shared" si="10"/>
        <v>4.7208812891221266E-2</v>
      </c>
      <c r="I53" s="80">
        <v>40.68</v>
      </c>
      <c r="J53" s="78">
        <f t="shared" si="20"/>
        <v>3.7057365711803594</v>
      </c>
      <c r="K53" s="79">
        <f t="shared" si="11"/>
        <v>7.2314231277620421E-3</v>
      </c>
      <c r="L53" s="80">
        <v>26.36</v>
      </c>
      <c r="M53" s="78">
        <f t="shared" si="21"/>
        <v>3.2718477096343066</v>
      </c>
      <c r="N53" s="79">
        <f t="shared" si="12"/>
        <v>2.8391938578335604E-2</v>
      </c>
      <c r="O53" s="80">
        <v>22.13</v>
      </c>
      <c r="P53" s="78">
        <f t="shared" si="22"/>
        <v>3.0969341540629585</v>
      </c>
      <c r="Q53" s="79">
        <f t="shared" si="13"/>
        <v>4.5545518048727703E-2</v>
      </c>
      <c r="R53" s="80">
        <v>17.995000000000001</v>
      </c>
      <c r="S53" s="78">
        <f t="shared" si="23"/>
        <v>2.8900939415309939</v>
      </c>
      <c r="T53" s="79">
        <f t="shared" si="14"/>
        <v>8.4176315774614319E-2</v>
      </c>
      <c r="U53" s="80">
        <v>6.581666666666667</v>
      </c>
      <c r="V53" s="78">
        <f t="shared" si="24"/>
        <v>1.8842880060705032</v>
      </c>
      <c r="W53" s="79">
        <f t="shared" si="15"/>
        <v>0.25548545421989305</v>
      </c>
      <c r="X53" s="80">
        <v>5.5308333333333337</v>
      </c>
      <c r="Y53" s="78">
        <f t="shared" si="25"/>
        <v>1.7103384973698335</v>
      </c>
      <c r="Z53" s="79">
        <f t="shared" si="16"/>
        <v>0.19631681154069955</v>
      </c>
      <c r="AA53" s="80">
        <v>4.229166666666667</v>
      </c>
      <c r="AB53" s="78">
        <f t="shared" si="26"/>
        <v>1.4420049681338964</v>
      </c>
      <c r="AC53" s="79">
        <f t="shared" si="17"/>
        <v>0.25843844115201642</v>
      </c>
    </row>
    <row r="54" spans="2:29" x14ac:dyDescent="0.3">
      <c r="B54" s="21">
        <v>2010</v>
      </c>
      <c r="C54" s="78">
        <v>59.64</v>
      </c>
      <c r="D54" s="78">
        <f t="shared" si="18"/>
        <v>4.0883264898965379</v>
      </c>
      <c r="E54" s="79">
        <f t="shared" si="9"/>
        <v>3.0989328670865922E-3</v>
      </c>
      <c r="F54" s="80">
        <v>21.06</v>
      </c>
      <c r="G54" s="78">
        <f t="shared" si="19"/>
        <v>3.0473755067058295</v>
      </c>
      <c r="H54" s="79">
        <f t="shared" si="10"/>
        <v>4.567814359430955E-2</v>
      </c>
      <c r="I54" s="80">
        <v>34.08</v>
      </c>
      <c r="J54" s="78">
        <f t="shared" si="20"/>
        <v>3.5287107019611148</v>
      </c>
      <c r="K54" s="79">
        <f t="shared" si="11"/>
        <v>1.439083112001528E-2</v>
      </c>
      <c r="L54" s="80">
        <v>19.98</v>
      </c>
      <c r="M54" s="78">
        <f t="shared" si="21"/>
        <v>2.9947317732204075</v>
      </c>
      <c r="N54" s="79">
        <f t="shared" si="12"/>
        <v>5.8752860407088041E-2</v>
      </c>
      <c r="O54" s="80">
        <v>19.059999999999999</v>
      </c>
      <c r="P54" s="78">
        <f t="shared" si="22"/>
        <v>2.9475918982260558</v>
      </c>
      <c r="Q54" s="79">
        <f t="shared" si="13"/>
        <v>7.8915769117043871E-2</v>
      </c>
      <c r="R54" s="80">
        <v>14.705</v>
      </c>
      <c r="S54" s="78">
        <f t="shared" si="23"/>
        <v>2.6881875720059583</v>
      </c>
      <c r="T54" s="79">
        <f t="shared" si="14"/>
        <v>0.11690905428922858</v>
      </c>
      <c r="U54" s="80">
        <v>4.2149999999999999</v>
      </c>
      <c r="V54" s="78">
        <f t="shared" si="24"/>
        <v>1.4386495914538187</v>
      </c>
      <c r="W54" s="79">
        <f t="shared" si="15"/>
        <v>5.3675422589315902E-2</v>
      </c>
      <c r="X54" s="80">
        <v>4.1616666666666662</v>
      </c>
      <c r="Y54" s="78">
        <f t="shared" si="25"/>
        <v>1.4259156350636268</v>
      </c>
      <c r="Z54" s="79">
        <f t="shared" si="16"/>
        <v>0.3845243416712873</v>
      </c>
      <c r="AA54" s="80">
        <v>2.7183333333333333</v>
      </c>
      <c r="AB54" s="78">
        <f t="shared" si="26"/>
        <v>1.0000189474048675</v>
      </c>
      <c r="AC54" s="79">
        <f t="shared" si="17"/>
        <v>0.34911085968715316</v>
      </c>
    </row>
    <row r="55" spans="2:29" x14ac:dyDescent="0.3">
      <c r="B55" s="21">
        <v>2011</v>
      </c>
      <c r="C55" s="78">
        <v>23.16</v>
      </c>
      <c r="D55" s="78">
        <f t="shared" si="18"/>
        <v>3.1424266527047946</v>
      </c>
      <c r="E55" s="79">
        <f t="shared" si="9"/>
        <v>2.5332067853532078E-2</v>
      </c>
      <c r="F55" s="80">
        <v>15.96</v>
      </c>
      <c r="G55" s="78">
        <f t="shared" si="19"/>
        <v>2.7700855920216627</v>
      </c>
      <c r="H55" s="79">
        <f t="shared" si="10"/>
        <v>4.4398478628468283E-2</v>
      </c>
      <c r="I55" s="80">
        <v>17.72</v>
      </c>
      <c r="J55" s="78">
        <f t="shared" si="20"/>
        <v>2.8746939451769347</v>
      </c>
      <c r="K55" s="79">
        <f t="shared" si="11"/>
        <v>4.7027989431962458E-2</v>
      </c>
      <c r="L55" s="80">
        <v>21.28</v>
      </c>
      <c r="M55" s="78">
        <f t="shared" si="21"/>
        <v>3.0577676644734435</v>
      </c>
      <c r="N55" s="79">
        <f t="shared" si="12"/>
        <v>5.2847886143623526E-2</v>
      </c>
      <c r="O55" s="80">
        <v>16.760000000000002</v>
      </c>
      <c r="P55" s="78">
        <f t="shared" si="22"/>
        <v>2.8189950950539369</v>
      </c>
      <c r="Q55" s="79">
        <f t="shared" si="13"/>
        <v>9.4781197501981634E-2</v>
      </c>
      <c r="R55" s="80">
        <v>17.52</v>
      </c>
      <c r="S55" s="78">
        <f t="shared" si="23"/>
        <v>2.8633430855082453</v>
      </c>
      <c r="T55" s="79">
        <f t="shared" si="14"/>
        <v>9.2260675225376079E-2</v>
      </c>
      <c r="U55" s="80">
        <v>5.1316666666666668</v>
      </c>
      <c r="V55" s="78">
        <f t="shared" si="24"/>
        <v>1.6354304927083541</v>
      </c>
      <c r="W55" s="79">
        <f t="shared" si="15"/>
        <v>0.16612234079051436</v>
      </c>
      <c r="X55" s="80">
        <v>3.6083333333333329</v>
      </c>
      <c r="Y55" s="78">
        <f t="shared" si="25"/>
        <v>1.2832459852204436</v>
      </c>
      <c r="Z55" s="79">
        <f t="shared" si="16"/>
        <v>0.31869239613510192</v>
      </c>
      <c r="AA55" s="80">
        <v>2.5725000000000002</v>
      </c>
      <c r="AB55" s="78">
        <f t="shared" si="26"/>
        <v>0.94487818872606766</v>
      </c>
      <c r="AC55" s="79">
        <f t="shared" si="17"/>
        <v>0.30931616465642742</v>
      </c>
    </row>
    <row r="56" spans="2:29" x14ac:dyDescent="0.3">
      <c r="B56" s="21">
        <v>2012</v>
      </c>
      <c r="C56" s="78">
        <v>23.64</v>
      </c>
      <c r="D56" s="78">
        <f t="shared" si="18"/>
        <v>3.1629401925378975</v>
      </c>
      <c r="E56" s="79">
        <f t="shared" si="9"/>
        <v>2.4713470305016597E-2</v>
      </c>
      <c r="F56" s="80">
        <v>15.54</v>
      </c>
      <c r="G56" s="78">
        <f t="shared" si="19"/>
        <v>2.7434173449395014</v>
      </c>
      <c r="H56" s="79">
        <f t="shared" si="10"/>
        <v>4.3231909721622365E-2</v>
      </c>
      <c r="I56" s="80">
        <v>25.28</v>
      </c>
      <c r="J56" s="78">
        <f t="shared" si="20"/>
        <v>3.2300135692786567</v>
      </c>
      <c r="K56" s="79">
        <f t="shared" si="11"/>
        <v>3.2221309077324914E-2</v>
      </c>
      <c r="L56" s="80">
        <v>19.54</v>
      </c>
      <c r="M56" s="78">
        <f t="shared" si="21"/>
        <v>2.9724636466146368</v>
      </c>
      <c r="N56" s="79">
        <f t="shared" si="12"/>
        <v>6.0484201644400611E-2</v>
      </c>
      <c r="O56" s="80">
        <v>18.059999999999999</v>
      </c>
      <c r="P56" s="78">
        <f t="shared" si="22"/>
        <v>2.8936995479888394</v>
      </c>
      <c r="Q56" s="79">
        <f t="shared" si="13"/>
        <v>8.8043578097781072E-2</v>
      </c>
      <c r="R56" s="80">
        <v>16.12</v>
      </c>
      <c r="S56" s="78">
        <f t="shared" si="23"/>
        <v>2.7800607370784824</v>
      </c>
      <c r="T56" s="79">
        <f t="shared" si="14"/>
        <v>0.11170737511189435</v>
      </c>
      <c r="U56" s="80">
        <v>6.9483333333333333</v>
      </c>
      <c r="V56" s="78">
        <f t="shared" si="24"/>
        <v>1.9385018226646504</v>
      </c>
      <c r="W56" s="79">
        <f t="shared" si="15"/>
        <v>0.24202245782051005</v>
      </c>
      <c r="X56" s="80">
        <v>5.8324999999999996</v>
      </c>
      <c r="Y56" s="78">
        <f t="shared" si="25"/>
        <v>1.7634457249134479</v>
      </c>
      <c r="Z56" s="79">
        <f t="shared" si="16"/>
        <v>0.14837718521519008</v>
      </c>
      <c r="AA56" s="80">
        <v>4.07125</v>
      </c>
      <c r="AB56" s="78">
        <f t="shared" si="26"/>
        <v>1.4039500776083063</v>
      </c>
      <c r="AC56" s="79">
        <f t="shared" si="17"/>
        <v>0.28987672877195891</v>
      </c>
    </row>
    <row r="57" spans="2:29" x14ac:dyDescent="0.3">
      <c r="B57" s="21">
        <v>2013</v>
      </c>
      <c r="C57" s="78">
        <v>59.04</v>
      </c>
      <c r="D57" s="78">
        <f t="shared" si="18"/>
        <v>4.0782151802922169</v>
      </c>
      <c r="E57" s="79">
        <f t="shared" si="9"/>
        <v>3.2024154223976313E-3</v>
      </c>
      <c r="F57" s="80">
        <v>23.580000000000002</v>
      </c>
      <c r="G57" s="78">
        <f t="shared" si="19"/>
        <v>3.1603988951092248</v>
      </c>
      <c r="H57" s="79">
        <f t="shared" si="10"/>
        <v>4.0575668484325138E-2</v>
      </c>
      <c r="I57" s="80">
        <v>19.2</v>
      </c>
      <c r="J57" s="78">
        <f t="shared" si="20"/>
        <v>2.954910279033736</v>
      </c>
      <c r="K57" s="79">
        <f t="shared" si="11"/>
        <v>4.5628230476812789E-2</v>
      </c>
      <c r="L57" s="80">
        <v>12.22</v>
      </c>
      <c r="M57" s="78">
        <f t="shared" si="21"/>
        <v>2.5030739537434492</v>
      </c>
      <c r="N57" s="79">
        <f t="shared" si="12"/>
        <v>4.0325465789536316E-2</v>
      </c>
      <c r="O57" s="80">
        <v>14.23</v>
      </c>
      <c r="P57" s="78">
        <f t="shared" si="22"/>
        <v>2.6553524121017609</v>
      </c>
      <c r="Q57" s="79">
        <f t="shared" si="13"/>
        <v>8.1166325216115387E-2</v>
      </c>
      <c r="R57" s="80">
        <v>10.55</v>
      </c>
      <c r="S57" s="78">
        <f t="shared" si="23"/>
        <v>2.3561258599220753</v>
      </c>
      <c r="T57" s="79">
        <f t="shared" si="14"/>
        <v>3.2404087707327951E-2</v>
      </c>
      <c r="U57" s="80">
        <v>7.541666666666667</v>
      </c>
      <c r="V57" s="78">
        <f t="shared" si="24"/>
        <v>2.0204432009178803</v>
      </c>
      <c r="W57" s="79">
        <f t="shared" si="15"/>
        <v>0.20169902159126404</v>
      </c>
      <c r="X57" s="80">
        <v>3.3308333333333331</v>
      </c>
      <c r="Y57" s="78">
        <f t="shared" si="25"/>
        <v>1.2032225229352318</v>
      </c>
      <c r="Z57" s="79">
        <f t="shared" si="16"/>
        <v>0.24600611750353218</v>
      </c>
      <c r="AA57" s="80">
        <v>2.3141666666666665</v>
      </c>
      <c r="AB57" s="78">
        <f t="shared" si="26"/>
        <v>0.83904965153070776</v>
      </c>
      <c r="AC57" s="79">
        <f t="shared" si="17"/>
        <v>0.222195876216574</v>
      </c>
    </row>
    <row r="58" spans="2:29" x14ac:dyDescent="0.3">
      <c r="B58" s="21">
        <v>2014</v>
      </c>
      <c r="C58" s="78">
        <v>8.0400000000000009</v>
      </c>
      <c r="D58" s="78">
        <f t="shared" si="18"/>
        <v>2.0844290831908752</v>
      </c>
      <c r="E58" s="79">
        <f t="shared" si="9"/>
        <v>2.5903287563414451E-2</v>
      </c>
      <c r="F58" s="80">
        <v>19.440000000000001</v>
      </c>
      <c r="G58" s="78">
        <f t="shared" si="19"/>
        <v>2.9673327990322931</v>
      </c>
      <c r="H58" s="79">
        <f t="shared" si="10"/>
        <v>4.7463236115386769E-2</v>
      </c>
      <c r="I58" s="80">
        <v>15.8</v>
      </c>
      <c r="J58" s="78">
        <f t="shared" si="20"/>
        <v>2.760009940032921</v>
      </c>
      <c r="K58" s="79">
        <f t="shared" si="11"/>
        <v>4.643652730389633E-2</v>
      </c>
      <c r="L58" s="80">
        <v>18.559999999999999</v>
      </c>
      <c r="M58" s="78">
        <f t="shared" si="21"/>
        <v>2.9210087273580543</v>
      </c>
      <c r="N58" s="79">
        <f t="shared" si="12"/>
        <v>6.3609567809701797E-2</v>
      </c>
      <c r="O58" s="80">
        <v>17.260000000000002</v>
      </c>
      <c r="P58" s="78">
        <f t="shared" si="22"/>
        <v>2.8483916856552818</v>
      </c>
      <c r="Q58" s="79">
        <f t="shared" si="13"/>
        <v>9.3071265360973474E-2</v>
      </c>
      <c r="R58" s="80">
        <v>20.184999999999999</v>
      </c>
      <c r="S58" s="78">
        <f t="shared" si="23"/>
        <v>3.0049397543049041</v>
      </c>
      <c r="T58" s="79">
        <f t="shared" si="14"/>
        <v>4.8037689015819736E-2</v>
      </c>
      <c r="U58" s="80">
        <v>10.341666666666667</v>
      </c>
      <c r="V58" s="78">
        <f t="shared" si="24"/>
        <v>2.3361810424225613</v>
      </c>
      <c r="W58" s="79">
        <f t="shared" si="15"/>
        <v>3.2272469642794024E-2</v>
      </c>
      <c r="X58" s="80">
        <v>4.0383333333333331</v>
      </c>
      <c r="Y58" s="78">
        <f t="shared" si="25"/>
        <v>1.3958320656003793</v>
      </c>
      <c r="Z58" s="79">
        <f t="shared" si="16"/>
        <v>0.38054094567769065</v>
      </c>
      <c r="AA58" s="80">
        <v>1.7162499999999998</v>
      </c>
      <c r="AB58" s="78">
        <f t="shared" si="26"/>
        <v>0.54014167810004365</v>
      </c>
      <c r="AC58" s="79">
        <f t="shared" si="17"/>
        <v>4.3358551221624013E-2</v>
      </c>
    </row>
    <row r="59" spans="2:29" x14ac:dyDescent="0.3">
      <c r="B59" s="21">
        <v>2015</v>
      </c>
      <c r="C59" s="78">
        <v>6.48</v>
      </c>
      <c r="D59" s="78">
        <f t="shared" si="18"/>
        <v>1.8687205103641833</v>
      </c>
      <c r="E59" s="79">
        <f t="shared" si="9"/>
        <v>1.9245276664289324E-2</v>
      </c>
      <c r="F59" s="80">
        <v>23.94</v>
      </c>
      <c r="G59" s="78">
        <f t="shared" si="19"/>
        <v>3.1755507001298273</v>
      </c>
      <c r="H59" s="79">
        <f t="shared" si="10"/>
        <v>3.9708472364474952E-2</v>
      </c>
      <c r="I59" s="80">
        <v>27.84</v>
      </c>
      <c r="J59" s="78">
        <f t="shared" si="20"/>
        <v>3.3264738354662189</v>
      </c>
      <c r="K59" s="79">
        <f t="shared" si="11"/>
        <v>2.6077638971793125E-2</v>
      </c>
      <c r="L59" s="80">
        <v>31.6</v>
      </c>
      <c r="M59" s="78">
        <f t="shared" si="21"/>
        <v>3.4531571205928664</v>
      </c>
      <c r="N59" s="79">
        <f t="shared" si="12"/>
        <v>1.2228941446466912E-2</v>
      </c>
      <c r="O59" s="80">
        <v>28.13</v>
      </c>
      <c r="P59" s="78">
        <f t="shared" si="22"/>
        <v>3.3368366225017656</v>
      </c>
      <c r="Q59" s="79">
        <f t="shared" si="13"/>
        <v>8.8263665261808615E-3</v>
      </c>
      <c r="R59" s="80">
        <v>11.82</v>
      </c>
      <c r="S59" s="78">
        <f t="shared" si="23"/>
        <v>2.4697930119779521</v>
      </c>
      <c r="T59" s="79">
        <f t="shared" si="14"/>
        <v>6.4895613000678545E-2</v>
      </c>
      <c r="U59" s="80">
        <v>6.1083333333333334</v>
      </c>
      <c r="V59" s="78">
        <f t="shared" si="24"/>
        <v>1.8096539591046055</v>
      </c>
      <c r="W59" s="79">
        <f t="shared" si="15"/>
        <v>0.25242770203803322</v>
      </c>
      <c r="X59" s="80">
        <v>4.0350000000000001</v>
      </c>
      <c r="Y59" s="78">
        <f t="shared" si="25"/>
        <v>1.3950063017219121</v>
      </c>
      <c r="Z59" s="79">
        <f t="shared" si="16"/>
        <v>0.38034853604516994</v>
      </c>
      <c r="AA59" s="80">
        <v>3.8341666666666665</v>
      </c>
      <c r="AB59" s="78">
        <f t="shared" si="26"/>
        <v>1.3439521143793769</v>
      </c>
      <c r="AC59" s="79">
        <f t="shared" si="17"/>
        <v>0.33576881629100486</v>
      </c>
    </row>
    <row r="60" spans="2:29" x14ac:dyDescent="0.3">
      <c r="B60" s="21">
        <v>2016</v>
      </c>
      <c r="C60" s="78">
        <v>35.76</v>
      </c>
      <c r="D60" s="78">
        <f t="shared" si="18"/>
        <v>3.5768299503053131</v>
      </c>
      <c r="E60" s="79">
        <f t="shared" si="9"/>
        <v>1.2318902101095418E-2</v>
      </c>
      <c r="F60" s="80">
        <v>14.46</v>
      </c>
      <c r="G60" s="78">
        <f t="shared" si="19"/>
        <v>2.6713862167306188</v>
      </c>
      <c r="H60" s="79">
        <f t="shared" si="10"/>
        <v>3.9397604865629939E-2</v>
      </c>
      <c r="I60" s="80">
        <v>21.4</v>
      </c>
      <c r="J60" s="78">
        <f t="shared" si="20"/>
        <v>3.0633909220278057</v>
      </c>
      <c r="K60" s="79">
        <f t="shared" si="11"/>
        <v>4.1617058136014413E-2</v>
      </c>
      <c r="L60" s="80">
        <v>15.82</v>
      </c>
      <c r="M60" s="78">
        <f t="shared" si="21"/>
        <v>2.7612749623395079</v>
      </c>
      <c r="N60" s="79">
        <f t="shared" si="12"/>
        <v>6.4098541279446059E-2</v>
      </c>
      <c r="O60" s="80">
        <v>12.81</v>
      </c>
      <c r="P60" s="78">
        <f t="shared" si="22"/>
        <v>2.550226115908643</v>
      </c>
      <c r="Q60" s="79">
        <f t="shared" si="13"/>
        <v>5.8412733372281998E-2</v>
      </c>
      <c r="R60" s="80">
        <v>12.574999999999999</v>
      </c>
      <c r="S60" s="78">
        <f t="shared" si="23"/>
        <v>2.531710715985803</v>
      </c>
      <c r="T60" s="79">
        <f t="shared" si="14"/>
        <v>8.4714994096179802E-2</v>
      </c>
      <c r="U60" s="80">
        <v>10.028333333333334</v>
      </c>
      <c r="V60" s="78">
        <f t="shared" si="24"/>
        <v>2.3054144200042055</v>
      </c>
      <c r="W60" s="79">
        <f t="shared" si="15"/>
        <v>4.1750477156651235E-2</v>
      </c>
      <c r="X60" s="80">
        <v>6.09</v>
      </c>
      <c r="Y60" s="78">
        <f t="shared" si="25"/>
        <v>1.8066480817218056</v>
      </c>
      <c r="Z60" s="79">
        <f t="shared" si="16"/>
        <v>0.11399476864753336</v>
      </c>
      <c r="AA60" s="80">
        <v>3.3145833333333332</v>
      </c>
      <c r="AB60" s="78">
        <f t="shared" si="26"/>
        <v>1.1983319244358501</v>
      </c>
      <c r="AC60" s="79">
        <f t="shared" si="17"/>
        <v>0.40340725570209374</v>
      </c>
    </row>
    <row r="61" spans="2:29" x14ac:dyDescent="0.3">
      <c r="B61" s="21">
        <v>2017</v>
      </c>
      <c r="C61" s="78">
        <v>12.48</v>
      </c>
      <c r="D61" s="78">
        <f t="shared" si="18"/>
        <v>2.5241273629412815</v>
      </c>
      <c r="E61" s="79">
        <f t="shared" si="9"/>
        <v>3.4590761115005891E-2</v>
      </c>
      <c r="F61" s="80">
        <v>31.44</v>
      </c>
      <c r="G61" s="78">
        <f t="shared" si="19"/>
        <v>3.448080967561006</v>
      </c>
      <c r="H61" s="79">
        <f t="shared" si="10"/>
        <v>2.1367703678249552E-2</v>
      </c>
      <c r="I61" s="80">
        <v>11.52</v>
      </c>
      <c r="J61" s="78">
        <f t="shared" si="20"/>
        <v>2.4440846552677451</v>
      </c>
      <c r="K61" s="79">
        <f t="shared" si="11"/>
        <v>3.1920962297125099E-2</v>
      </c>
      <c r="L61" s="80">
        <v>22.4</v>
      </c>
      <c r="M61" s="78">
        <f t="shared" si="21"/>
        <v>3.1090609588609941</v>
      </c>
      <c r="N61" s="79">
        <f t="shared" si="12"/>
        <v>4.7246069009796957E-2</v>
      </c>
      <c r="O61" s="80">
        <v>18.21</v>
      </c>
      <c r="P61" s="78">
        <f t="shared" si="22"/>
        <v>2.9019708937395166</v>
      </c>
      <c r="Q61" s="79">
        <f t="shared" si="13"/>
        <v>8.6842529013976363E-2</v>
      </c>
      <c r="R61" s="80">
        <v>19.27</v>
      </c>
      <c r="S61" s="78">
        <f t="shared" si="23"/>
        <v>2.958549482426275</v>
      </c>
      <c r="T61" s="79">
        <f t="shared" si="14"/>
        <v>6.2253882972485269E-2</v>
      </c>
      <c r="U61" s="80">
        <v>6.875</v>
      </c>
      <c r="V61" s="78">
        <f t="shared" si="24"/>
        <v>1.927891643552635</v>
      </c>
      <c r="W61" s="79">
        <f t="shared" si="15"/>
        <v>0.24562105519429742</v>
      </c>
      <c r="X61" s="80">
        <v>6.3999999999999995</v>
      </c>
      <c r="Y61" s="78">
        <f t="shared" si="25"/>
        <v>1.856297990365626</v>
      </c>
      <c r="Z61" s="79">
        <f t="shared" si="16"/>
        <v>8.0922026557616378E-2</v>
      </c>
      <c r="AA61" s="80">
        <v>3.4183333333333334</v>
      </c>
      <c r="AB61" s="78">
        <f t="shared" si="26"/>
        <v>1.2291531028562344</v>
      </c>
      <c r="AC61" s="79">
        <f t="shared" si="17"/>
        <v>0.39606062238269807</v>
      </c>
    </row>
    <row r="62" spans="2:29" x14ac:dyDescent="0.3">
      <c r="B62" s="21">
        <v>2018</v>
      </c>
      <c r="C62" s="78">
        <v>14.16</v>
      </c>
      <c r="D62" s="78">
        <f t="shared" si="18"/>
        <v>2.6504210882655737</v>
      </c>
      <c r="E62" s="79">
        <f t="shared" si="9"/>
        <v>3.4749935093508232E-2</v>
      </c>
      <c r="F62" s="80">
        <v>26.759999999999998</v>
      </c>
      <c r="G62" s="78">
        <f t="shared" si="19"/>
        <v>3.2869082352600278</v>
      </c>
      <c r="H62" s="79">
        <f t="shared" si="10"/>
        <v>3.2500690177588679E-2</v>
      </c>
      <c r="I62" s="80">
        <v>18</v>
      </c>
      <c r="J62" s="78">
        <f t="shared" si="20"/>
        <v>2.8903717578961645</v>
      </c>
      <c r="K62" s="79">
        <f t="shared" si="11"/>
        <v>4.6869438526973214E-2</v>
      </c>
      <c r="L62" s="80">
        <v>19.14</v>
      </c>
      <c r="M62" s="78">
        <f t="shared" si="21"/>
        <v>2.9517803860248084</v>
      </c>
      <c r="N62" s="79">
        <f t="shared" si="12"/>
        <v>6.1895062940600674E-2</v>
      </c>
      <c r="O62" s="80">
        <v>15.53</v>
      </c>
      <c r="P62" s="78">
        <f t="shared" si="22"/>
        <v>2.7427736371605955</v>
      </c>
      <c r="Q62" s="79">
        <f t="shared" si="13"/>
        <v>9.3077249145799679E-2</v>
      </c>
      <c r="R62" s="80">
        <v>20.309999999999999</v>
      </c>
      <c r="S62" s="78">
        <f t="shared" si="23"/>
        <v>3.0111133755922932</v>
      </c>
      <c r="T62" s="79">
        <f t="shared" si="14"/>
        <v>4.6254086919386296E-2</v>
      </c>
      <c r="U62" s="80">
        <v>6.2466666666666661</v>
      </c>
      <c r="V62" s="78">
        <f t="shared" si="24"/>
        <v>1.8320479881421663</v>
      </c>
      <c r="W62" s="79">
        <f t="shared" si="15"/>
        <v>0.2560233525821351</v>
      </c>
      <c r="X62" s="80">
        <v>2.5274999999999999</v>
      </c>
      <c r="Y62" s="78">
        <f t="shared" si="25"/>
        <v>0.92723067191248942</v>
      </c>
      <c r="Z62" s="79">
        <f t="shared" si="16"/>
        <v>4.3204904828981407E-2</v>
      </c>
      <c r="AA62" s="80">
        <v>4.6379166666666665</v>
      </c>
      <c r="AB62" s="78">
        <f t="shared" si="26"/>
        <v>1.5342652711571887</v>
      </c>
      <c r="AC62" s="79">
        <f t="shared" si="17"/>
        <v>0.18250964388791241</v>
      </c>
    </row>
    <row r="63" spans="2:29" x14ac:dyDescent="0.3">
      <c r="B63" s="21">
        <v>2019</v>
      </c>
      <c r="C63" s="78">
        <v>25.68</v>
      </c>
      <c r="D63" s="78">
        <f t="shared" si="18"/>
        <v>3.2457124788217606</v>
      </c>
      <c r="E63" s="79">
        <f t="shared" si="9"/>
        <v>2.2158166462902504E-2</v>
      </c>
      <c r="F63" s="80">
        <v>23.52</v>
      </c>
      <c r="G63" s="78">
        <f t="shared" si="19"/>
        <v>3.1578511230304263</v>
      </c>
      <c r="H63" s="79">
        <f t="shared" si="10"/>
        <v>4.0717923491982833E-2</v>
      </c>
      <c r="I63" s="80">
        <v>36</v>
      </c>
      <c r="J63" s="78">
        <f t="shared" si="20"/>
        <v>3.5835189384561099</v>
      </c>
      <c r="K63" s="79">
        <f t="shared" si="11"/>
        <v>1.1825682513612382E-2</v>
      </c>
      <c r="L63" s="80">
        <v>14.3</v>
      </c>
      <c r="M63" s="78">
        <f t="shared" si="21"/>
        <v>2.6602595372658615</v>
      </c>
      <c r="N63" s="79">
        <f t="shared" si="12"/>
        <v>5.7347185958680234E-2</v>
      </c>
      <c r="O63" s="80">
        <v>15.2</v>
      </c>
      <c r="P63" s="78">
        <f t="shared" si="22"/>
        <v>2.7212954278522306</v>
      </c>
      <c r="Q63" s="79">
        <f t="shared" si="13"/>
        <v>9.1038701478708642E-2</v>
      </c>
      <c r="R63" s="80">
        <v>22.33</v>
      </c>
      <c r="S63" s="78">
        <f t="shared" si="23"/>
        <v>3.1059310658520665</v>
      </c>
      <c r="T63" s="79">
        <f t="shared" si="14"/>
        <v>2.3443022234686389E-2</v>
      </c>
      <c r="U63" s="80">
        <v>6.0983333333333336</v>
      </c>
      <c r="V63" s="78">
        <f t="shared" si="24"/>
        <v>1.8080155098030606</v>
      </c>
      <c r="W63" s="79">
        <f t="shared" si="15"/>
        <v>0.25207725230051098</v>
      </c>
      <c r="X63" s="80">
        <v>5.8066666666666675</v>
      </c>
      <c r="Y63" s="78">
        <f t="shared" si="25"/>
        <v>1.7590066827562472</v>
      </c>
      <c r="Z63" s="79">
        <f t="shared" si="16"/>
        <v>0.15217342998543462</v>
      </c>
      <c r="AA63" s="80">
        <v>4.0750000000000002</v>
      </c>
      <c r="AB63" s="78">
        <f t="shared" si="26"/>
        <v>1.4048707466928261</v>
      </c>
      <c r="AC63" s="79">
        <f t="shared" si="17"/>
        <v>0.28912992690793315</v>
      </c>
    </row>
    <row r="64" spans="2:29" ht="15" thickBot="1" x14ac:dyDescent="0.35">
      <c r="B64" s="21">
        <v>2020</v>
      </c>
      <c r="C64" s="81">
        <v>28.44</v>
      </c>
      <c r="D64" s="81">
        <f t="shared" si="18"/>
        <v>3.3477966049350401</v>
      </c>
      <c r="E64" s="82">
        <f t="shared" si="9"/>
        <v>1.8970419143245584E-2</v>
      </c>
      <c r="F64" s="83">
        <v>13.799999999999999</v>
      </c>
      <c r="G64" s="81">
        <f t="shared" si="19"/>
        <v>2.6246685921631587</v>
      </c>
      <c r="H64" s="82">
        <f t="shared" si="10"/>
        <v>3.6492869707279572E-2</v>
      </c>
      <c r="I64" s="83">
        <v>18.68</v>
      </c>
      <c r="J64" s="81">
        <f t="shared" si="20"/>
        <v>2.9274534328006965</v>
      </c>
      <c r="K64" s="82">
        <f t="shared" si="11"/>
        <v>4.6269787464981345E-2</v>
      </c>
      <c r="L64" s="83">
        <v>15.12</v>
      </c>
      <c r="M64" s="81">
        <f t="shared" si="21"/>
        <v>2.716018370751387</v>
      </c>
      <c r="N64" s="82">
        <f t="shared" si="12"/>
        <v>6.1663062380717788E-2</v>
      </c>
      <c r="O64" s="83">
        <v>17.82</v>
      </c>
      <c r="P64" s="81">
        <f t="shared" si="22"/>
        <v>2.8803214220426634</v>
      </c>
      <c r="Q64" s="82">
        <f t="shared" si="13"/>
        <v>8.9810034118737503E-2</v>
      </c>
      <c r="R64" s="83">
        <v>17.515000000000001</v>
      </c>
      <c r="S64" s="81">
        <f t="shared" si="23"/>
        <v>2.8630576566494503</v>
      </c>
      <c r="T64" s="82">
        <f t="shared" si="14"/>
        <v>9.2343665990165483E-2</v>
      </c>
      <c r="U64" s="83">
        <v>6.7833333333333341</v>
      </c>
      <c r="V64" s="81">
        <f t="shared" si="24"/>
        <v>1.9144686232204944</v>
      </c>
      <c r="W64" s="82">
        <f t="shared" si="15"/>
        <v>0.24952476327093182</v>
      </c>
      <c r="X64" s="83">
        <v>3.6191666666666666</v>
      </c>
      <c r="Y64" s="81">
        <f t="shared" si="25"/>
        <v>1.2862437967587301</v>
      </c>
      <c r="Z64" s="82">
        <f t="shared" si="16"/>
        <v>0.32110869547018794</v>
      </c>
      <c r="AA64" s="83">
        <v>2.7791666666666668</v>
      </c>
      <c r="AB64" s="81">
        <f t="shared" si="26"/>
        <v>1.0221511225736324</v>
      </c>
      <c r="AC64" s="82">
        <f t="shared" si="17"/>
        <v>0.36288094347972216</v>
      </c>
    </row>
    <row r="65" spans="2:29" ht="15" thickBot="1" x14ac:dyDescent="0.35">
      <c r="B65" s="22"/>
      <c r="AC65" s="12"/>
    </row>
    <row r="66" spans="2:29" ht="15" thickBot="1" x14ac:dyDescent="0.35">
      <c r="B66" s="33" t="s">
        <v>31</v>
      </c>
      <c r="C66" s="42"/>
      <c r="D66" s="34"/>
      <c r="E66" s="35">
        <f>PRODUCT(E5:E64)</f>
        <v>5.9456091117676359E-107</v>
      </c>
      <c r="F66" s="42"/>
      <c r="G66" s="34"/>
      <c r="H66" s="45">
        <f>PRODUCT(H5:H64)</f>
        <v>4.9000719327579621E-95</v>
      </c>
      <c r="I66" s="42"/>
      <c r="J66" s="34"/>
      <c r="K66" s="35">
        <f>PRODUCT(K5:K64)</f>
        <v>1.0087752585364283E-95</v>
      </c>
      <c r="L66" s="42"/>
      <c r="M66" s="34"/>
      <c r="N66" s="45">
        <f>PRODUCT(N5:N64)</f>
        <v>5.7320175856996222E-86</v>
      </c>
      <c r="O66" s="42"/>
      <c r="P66" s="34"/>
      <c r="Q66" s="35">
        <f>PRODUCT(Q5:Q64)</f>
        <v>1.2746881866869238E-75</v>
      </c>
      <c r="R66" s="42"/>
      <c r="S66" s="34"/>
      <c r="T66" s="45">
        <f>PRODUCT(T5:T64)</f>
        <v>5.6706418409025895E-70</v>
      </c>
      <c r="U66" s="42"/>
      <c r="V66" s="34"/>
      <c r="W66" s="35">
        <f>PRODUCT(W5:W64)</f>
        <v>1.2451491578258885E-49</v>
      </c>
      <c r="X66" s="42"/>
      <c r="Y66" s="34"/>
      <c r="Z66" s="45">
        <f>PRODUCT(Z5:Z64)</f>
        <v>3.4149040938428797E-39</v>
      </c>
      <c r="AA66" s="34"/>
      <c r="AB66" s="34"/>
      <c r="AC66" s="35">
        <f>PRODUCT(AC5:AC64)</f>
        <v>4.0128911908877218E-38</v>
      </c>
    </row>
    <row r="67" spans="2:29" x14ac:dyDescent="0.3">
      <c r="B67" s="23" t="s">
        <v>12</v>
      </c>
      <c r="C67" s="11"/>
      <c r="D67" s="31">
        <f>AVERAGE(D5:D64)</f>
        <v>3.0592393595827043</v>
      </c>
      <c r="E67" s="43"/>
      <c r="F67" s="46"/>
      <c r="G67" s="32">
        <f>AVERAGE(G5:G64)</f>
        <v>3.0957408169784899</v>
      </c>
      <c r="H67" s="43"/>
      <c r="I67" s="46"/>
      <c r="J67" s="31">
        <f>AVERAGE(J5:J64)</f>
        <v>3.0395174789700676</v>
      </c>
      <c r="K67" s="43"/>
      <c r="L67" s="46"/>
      <c r="M67" s="32">
        <f>AVERAGE(M5:M64)</f>
        <v>2.9491013455239488</v>
      </c>
      <c r="N67" s="43"/>
      <c r="O67" s="46"/>
      <c r="P67" s="31">
        <f>AVERAGE(P5:P64)</f>
        <v>2.8571432662395666</v>
      </c>
      <c r="Q67" s="43"/>
      <c r="R67" s="46"/>
      <c r="S67" s="32">
        <f>AVERAGE(S5:S64)</f>
        <v>2.7586591529918465</v>
      </c>
      <c r="T67" s="43"/>
      <c r="U67" s="46"/>
      <c r="V67" s="31">
        <f>AVERAGE(V5:V64)</f>
        <v>1.9114757111678591</v>
      </c>
      <c r="W67" s="43"/>
      <c r="X67" s="46"/>
      <c r="Y67" s="32">
        <f>AVERAGE(Y5:Y64)</f>
        <v>1.4889924454607051</v>
      </c>
      <c r="Z67" s="43"/>
      <c r="AA67" s="17"/>
      <c r="AB67" s="31">
        <f>AVERAGE(AB5:AB64)</f>
        <v>1.2486401554781275</v>
      </c>
      <c r="AC67" s="12"/>
    </row>
    <row r="68" spans="2:29" x14ac:dyDescent="0.3">
      <c r="B68" s="21" t="s">
        <v>13</v>
      </c>
      <c r="C68" s="11"/>
      <c r="D68" s="29">
        <f>_xlfn.STDEV.S(D5:D64)</f>
        <v>0.67484064779118891</v>
      </c>
      <c r="E68" s="43"/>
      <c r="F68" s="46"/>
      <c r="G68" s="10">
        <f>_xlfn.STDEV.S(G5:G64)</f>
        <v>0.41185917992287019</v>
      </c>
      <c r="H68" s="43"/>
      <c r="I68" s="46"/>
      <c r="J68" s="29">
        <f>_xlfn.STDEV.S(J5:J64)</f>
        <v>0.44730769539169024</v>
      </c>
      <c r="K68" s="43"/>
      <c r="L68" s="46"/>
      <c r="M68" s="10">
        <f>_xlfn.STDEV.S(M5:M64)</f>
        <v>0.33674284704195412</v>
      </c>
      <c r="N68" s="43"/>
      <c r="O68" s="46"/>
      <c r="P68" s="29">
        <f>_xlfn.STDEV.S(P5:P64)</f>
        <v>0.24818964527624979</v>
      </c>
      <c r="Q68" s="43"/>
      <c r="R68" s="46"/>
      <c r="S68" s="10">
        <f>_xlfn.STDEV.S(S5:S64)</f>
        <v>0.22050458671494852</v>
      </c>
      <c r="T68" s="43"/>
      <c r="U68" s="46"/>
      <c r="V68" s="29">
        <f>_xlfn.STDEV.S(V5:V64)</f>
        <v>0.23567756128318026</v>
      </c>
      <c r="W68" s="43"/>
      <c r="X68" s="46"/>
      <c r="Y68" s="10">
        <f>_xlfn.STDEV.S(Y5:Y64)</f>
        <v>0.24089683884939214</v>
      </c>
      <c r="Z68" s="43"/>
      <c r="AA68" s="17"/>
      <c r="AB68" s="29">
        <f>_xlfn.STDEV.S(AB5:AB64)</f>
        <v>0.29402220241810262</v>
      </c>
      <c r="AC68" s="12"/>
    </row>
    <row r="69" spans="2:29" x14ac:dyDescent="0.3">
      <c r="B69" s="23" t="s">
        <v>16</v>
      </c>
      <c r="C69" s="11"/>
      <c r="D69" s="30">
        <f>5/60</f>
        <v>8.3333333333333329E-2</v>
      </c>
      <c r="E69" s="43"/>
      <c r="F69" s="46"/>
      <c r="G69" s="9">
        <f>10/60</f>
        <v>0.16666666666666666</v>
      </c>
      <c r="H69" s="43"/>
      <c r="I69" s="46"/>
      <c r="J69" s="30">
        <f>15/60</f>
        <v>0.25</v>
      </c>
      <c r="K69" s="43"/>
      <c r="L69" s="46"/>
      <c r="M69" s="9">
        <f>30/60</f>
        <v>0.5</v>
      </c>
      <c r="N69" s="43"/>
      <c r="O69" s="46"/>
      <c r="P69" s="30">
        <v>1</v>
      </c>
      <c r="Q69" s="43"/>
      <c r="R69" s="46"/>
      <c r="S69" s="9">
        <v>2</v>
      </c>
      <c r="T69" s="43"/>
      <c r="U69" s="46"/>
      <c r="V69" s="30">
        <v>6</v>
      </c>
      <c r="W69" s="43"/>
      <c r="X69" s="46"/>
      <c r="Y69" s="9">
        <v>12</v>
      </c>
      <c r="Z69" s="43"/>
      <c r="AA69" s="17"/>
      <c r="AB69" s="30">
        <v>24</v>
      </c>
      <c r="AC69" s="12"/>
    </row>
    <row r="70" spans="2:29" x14ac:dyDescent="0.3">
      <c r="B70" s="23" t="s">
        <v>21</v>
      </c>
      <c r="C70" s="11"/>
      <c r="D70" s="29">
        <f>_xlfn.LOGNORM.INV(0.5,D67,D68)</f>
        <v>21.311340728266618</v>
      </c>
      <c r="E70" s="43"/>
      <c r="F70" s="46"/>
      <c r="G70" s="10">
        <f>_xlfn.LOGNORM.INV(0.5,G67,G68)</f>
        <v>22.103607201205559</v>
      </c>
      <c r="H70" s="43"/>
      <c r="I70" s="46"/>
      <c r="J70" s="29">
        <f>_xlfn.LOGNORM.INV(0.5,J67,J68)</f>
        <v>20.89515844885236</v>
      </c>
      <c r="K70" s="43"/>
      <c r="L70" s="46"/>
      <c r="M70" s="10">
        <f>_xlfn.LOGNORM.INV(0.5,M67,M68)</f>
        <v>19.088791789875874</v>
      </c>
      <c r="N70" s="43"/>
      <c r="O70" s="46"/>
      <c r="P70" s="29">
        <f>_xlfn.LOGNORM.INV(0.5,P67,P68)</f>
        <v>17.411715186401583</v>
      </c>
      <c r="Q70" s="43"/>
      <c r="R70" s="46"/>
      <c r="S70" s="10">
        <f>_xlfn.LOGNORM.INV(0.5,S67,S68)</f>
        <v>15.778671972805366</v>
      </c>
      <c r="T70" s="43"/>
      <c r="U70" s="46"/>
      <c r="V70" s="29">
        <f>_xlfn.LOGNORM.INV(0.5,V67,V68)</f>
        <v>6.7630617638871362</v>
      </c>
      <c r="W70" s="43"/>
      <c r="X70" s="46"/>
      <c r="Y70" s="10">
        <f>_xlfn.LOGNORM.INV(0.5,Y67,Y68)</f>
        <v>4.4326271547105813</v>
      </c>
      <c r="Z70" s="43"/>
      <c r="AA70" s="17"/>
      <c r="AB70" s="29">
        <f>_xlfn.LOGNORM.INV(0.5,AB67,AB68)</f>
        <v>3.4855998593805539</v>
      </c>
      <c r="AC70" s="12"/>
    </row>
    <row r="71" spans="2:29" x14ac:dyDescent="0.3">
      <c r="B71" s="23" t="s">
        <v>22</v>
      </c>
      <c r="C71" s="11"/>
      <c r="D71" s="29">
        <f>_xlfn.LOGNORM.INV(4/5,D$67,D$68)</f>
        <v>37.607352558281164</v>
      </c>
      <c r="E71" s="43"/>
      <c r="F71" s="46"/>
      <c r="G71" s="10">
        <f>_xlfn.LOGNORM.INV(4/5,G67,G68)</f>
        <v>31.260966669494554</v>
      </c>
      <c r="H71" s="43"/>
      <c r="I71" s="46"/>
      <c r="J71" s="29">
        <f>_xlfn.LOGNORM.INV(4/5,J67,J68)</f>
        <v>30.446807155934593</v>
      </c>
      <c r="K71" s="43"/>
      <c r="L71" s="46"/>
      <c r="M71" s="10">
        <f>_xlfn.LOGNORM.INV(4/5,M67,M68)</f>
        <v>25.34322094289443</v>
      </c>
      <c r="N71" s="43"/>
      <c r="O71" s="46"/>
      <c r="P71" s="29">
        <f>_xlfn.LOGNORM.INV(4/5,P67,P68)</f>
        <v>21.456442322523877</v>
      </c>
      <c r="Q71" s="43"/>
      <c r="R71" s="46"/>
      <c r="S71" s="10">
        <f>_xlfn.LOGNORM.INV(4/5,S67,S68)</f>
        <v>18.996229180229484</v>
      </c>
      <c r="T71" s="43"/>
      <c r="U71" s="46"/>
      <c r="V71" s="29">
        <f>_xlfn.LOGNORM.INV(4/5,V67,V68)</f>
        <v>8.2468140583829861</v>
      </c>
      <c r="W71" s="43"/>
      <c r="X71" s="46"/>
      <c r="Y71" s="10">
        <f>_xlfn.LOGNORM.INV(4/5,Y67,Y68)</f>
        <v>5.4288989412654045</v>
      </c>
      <c r="Z71" s="43"/>
      <c r="AA71" s="17"/>
      <c r="AB71" s="29">
        <f>_xlfn.LOGNORM.INV(4/5,AB67,AB68)</f>
        <v>4.4642243622429145</v>
      </c>
      <c r="AC71" s="12"/>
    </row>
    <row r="72" spans="2:29" x14ac:dyDescent="0.3">
      <c r="B72" s="23" t="s">
        <v>23</v>
      </c>
      <c r="C72" s="11"/>
      <c r="D72" s="29">
        <f>_xlfn.LOGNORM.INV(9/10,D67,D68)</f>
        <v>50.606622554480168</v>
      </c>
      <c r="E72" s="43"/>
      <c r="F72" s="46"/>
      <c r="G72" s="10">
        <f>_xlfn.LOGNORM.INV(9/10,G67,G68)</f>
        <v>37.470711224331367</v>
      </c>
      <c r="H72" s="43"/>
      <c r="I72" s="46"/>
      <c r="J72" s="29">
        <f>_xlfn.LOGNORM.INV(9/10,J67,J68)</f>
        <v>37.068418594791893</v>
      </c>
      <c r="K72" s="43"/>
      <c r="L72" s="46"/>
      <c r="M72" s="10">
        <f>_xlfn.LOGNORM.INV(9/10,M67,M68)</f>
        <v>29.390005522548599</v>
      </c>
      <c r="N72" s="43"/>
      <c r="O72" s="46"/>
      <c r="P72" s="29">
        <f>_xlfn.LOGNORM.INV(9/10,P67,P68)</f>
        <v>23.931871226263503</v>
      </c>
      <c r="Q72" s="43"/>
      <c r="R72" s="46"/>
      <c r="S72" s="10">
        <f>_xlfn.LOGNORM.INV(9/10,S67,S68)</f>
        <v>20.931331501124955</v>
      </c>
      <c r="T72" s="43"/>
      <c r="U72" s="46"/>
      <c r="V72" s="29">
        <f>_xlfn.LOGNORM.INV(9/10,V67,V68)</f>
        <v>9.1477565075719962</v>
      </c>
      <c r="W72" s="43"/>
      <c r="X72" s="46"/>
      <c r="Y72" s="10">
        <f>_xlfn.LOGNORM.INV(9/10,Y67,Y68)</f>
        <v>6.0358347698838957</v>
      </c>
      <c r="Z72" s="43"/>
      <c r="AA72" s="17"/>
      <c r="AB72" s="29">
        <f>_xlfn.LOGNORM.INV(9/10,AB67,AB68)</f>
        <v>5.0806782643995136</v>
      </c>
      <c r="AC72" s="12"/>
    </row>
    <row r="73" spans="2:29" x14ac:dyDescent="0.3">
      <c r="B73" s="23" t="s">
        <v>24</v>
      </c>
      <c r="C73" s="11"/>
      <c r="D73" s="29">
        <f>_xlfn.LOGNORM.INV(24/25,D67,D68)</f>
        <v>69.454612521094035</v>
      </c>
      <c r="E73" s="43"/>
      <c r="F73" s="46"/>
      <c r="G73" s="10">
        <f>_xlfn.LOGNORM.INV(24/25,G67,G68)</f>
        <v>45.457460137216898</v>
      </c>
      <c r="H73" s="43"/>
      <c r="I73" s="46"/>
      <c r="J73" s="29">
        <f>_xlfn.LOGNORM.INV(24/25,J67,J68)</f>
        <v>45.723520206533237</v>
      </c>
      <c r="K73" s="43"/>
      <c r="L73" s="46"/>
      <c r="M73" s="10">
        <f>_xlfn.LOGNORM.INV(24/25,M67,M68)</f>
        <v>34.419812984625302</v>
      </c>
      <c r="N73" s="43"/>
      <c r="O73" s="46"/>
      <c r="P73" s="29">
        <f>_xlfn.LOGNORM.INV(24/25,P67,P68)</f>
        <v>26.887067831540342</v>
      </c>
      <c r="Q73" s="43"/>
      <c r="R73" s="46"/>
      <c r="S73" s="10">
        <f>_xlfn.LOGNORM.INV(24/25,S67,S68)</f>
        <v>23.2125588419538</v>
      </c>
      <c r="T73" s="43"/>
      <c r="U73" s="46"/>
      <c r="V73" s="29">
        <f>_xlfn.LOGNORM.INV(24/25,V67,V68)</f>
        <v>10.21720572549094</v>
      </c>
      <c r="W73" s="43"/>
      <c r="X73" s="46"/>
      <c r="Y73" s="10">
        <f>_xlfn.LOGNORM.INV(24/25,Y67,Y68)</f>
        <v>6.7580013350492232</v>
      </c>
      <c r="Z73" s="43"/>
      <c r="AA73" s="17"/>
      <c r="AB73" s="29">
        <f>_xlfn.LOGNORM.INV(24/25,AB67,AB68)</f>
        <v>5.8321209288469911</v>
      </c>
      <c r="AC73" s="12"/>
    </row>
    <row r="74" spans="2:29" x14ac:dyDescent="0.3">
      <c r="B74" s="23" t="s">
        <v>25</v>
      </c>
      <c r="C74" s="11"/>
      <c r="D74" s="29">
        <f>_xlfn.LOGNORM.INV(49/50,D67,D68)</f>
        <v>85.216289326059737</v>
      </c>
      <c r="E74" s="43"/>
      <c r="F74" s="46"/>
      <c r="G74" s="10">
        <f>_xlfn.LOGNORM.INV(49/50,G67,G68)</f>
        <v>51.500739102872714</v>
      </c>
      <c r="H74" s="43"/>
      <c r="I74" s="46"/>
      <c r="J74" s="29">
        <f>_xlfn.LOGNORM.INV(49/50,J67,J68)</f>
        <v>52.361687592942445</v>
      </c>
      <c r="K74" s="43"/>
      <c r="L74" s="46"/>
      <c r="M74" s="10">
        <f>_xlfn.LOGNORM.INV(49/50,M67,M68)</f>
        <v>38.117999591640697</v>
      </c>
      <c r="N74" s="43"/>
      <c r="O74" s="46"/>
      <c r="P74" s="29">
        <f>_xlfn.LOGNORM.INV(49/50,P67,P68)</f>
        <v>28.987435568804955</v>
      </c>
      <c r="Q74" s="43"/>
      <c r="R74" s="46"/>
      <c r="S74" s="10">
        <f>_xlfn.LOGNORM.INV(49/50,S67,S68)</f>
        <v>24.816784230569965</v>
      </c>
      <c r="T74" s="43"/>
      <c r="U74" s="46"/>
      <c r="V74" s="29">
        <f>_xlfn.LOGNORM.INV(49/50,V67,V68)</f>
        <v>10.973664280590603</v>
      </c>
      <c r="W74" s="43"/>
      <c r="X74" s="46"/>
      <c r="Y74" s="10">
        <f>_xlfn.LOGNORM.INV(49/50,Y67,Y68)</f>
        <v>7.2698384207884281</v>
      </c>
      <c r="Z74" s="43"/>
      <c r="AA74" s="17"/>
      <c r="AB74" s="29">
        <f>_xlfn.LOGNORM.INV(49/50,AB67,AB68)</f>
        <v>6.375662029362827</v>
      </c>
      <c r="AC74" s="12"/>
    </row>
    <row r="75" spans="2:29" x14ac:dyDescent="0.3">
      <c r="B75" s="22"/>
      <c r="C75" s="11"/>
      <c r="E75" s="12"/>
      <c r="F75" s="11"/>
      <c r="H75" s="12"/>
      <c r="I75" s="11"/>
      <c r="K75" s="12"/>
      <c r="L75" s="11"/>
      <c r="N75" s="12"/>
      <c r="O75" s="11"/>
      <c r="Q75" s="12"/>
      <c r="R75" s="11"/>
      <c r="T75" s="12"/>
      <c r="U75" s="11"/>
      <c r="W75" s="12"/>
      <c r="X75" s="11"/>
      <c r="Z75" s="12"/>
      <c r="AC75" s="12"/>
    </row>
    <row r="76" spans="2:29" x14ac:dyDescent="0.3">
      <c r="B76" s="24" t="s">
        <v>33</v>
      </c>
      <c r="C76" s="44"/>
      <c r="D76" s="8"/>
      <c r="E76" s="27">
        <f>(-2*LN(E66))+(2*2)</f>
        <v>493.18790393528786</v>
      </c>
      <c r="F76" s="44"/>
      <c r="G76" s="8"/>
      <c r="H76" s="27">
        <f>(-2*LN(H66))+(2*2)</f>
        <v>438.31266789854163</v>
      </c>
      <c r="I76" s="44"/>
      <c r="J76" s="8"/>
      <c r="K76" s="27">
        <f>(-2*LN(K66))+(2*2)</f>
        <v>441.47369370940896</v>
      </c>
      <c r="L76" s="44"/>
      <c r="M76" s="8"/>
      <c r="N76" s="27">
        <f>(-2*LN(N66))+(2*2)</f>
        <v>396.5525008390801</v>
      </c>
      <c r="O76" s="44"/>
      <c r="P76" s="8"/>
      <c r="Q76" s="27">
        <f>(-2*LN(Q66))+(2*2)</f>
        <v>348.90236077062764</v>
      </c>
      <c r="R76" s="44"/>
      <c r="S76" s="8"/>
      <c r="T76" s="27">
        <f>(-2*LN(T66))+(2*2)</f>
        <v>322.89130839759281</v>
      </c>
      <c r="U76" s="44"/>
      <c r="V76" s="8"/>
      <c r="W76" s="27">
        <f>(-2*LN(W66))+(2*2)</f>
        <v>229.21482845697005</v>
      </c>
      <c r="X76" s="44"/>
      <c r="Y76" s="8"/>
      <c r="Z76" s="27">
        <f>(-2*LN(Z66))+(2*2)</f>
        <v>181.14533843586713</v>
      </c>
      <c r="AA76" s="19"/>
      <c r="AB76" s="8"/>
      <c r="AC76" s="27">
        <f>(-2*LN(AC66))+(2*2)</f>
        <v>176.21744311402722</v>
      </c>
    </row>
    <row r="77" spans="2:29" x14ac:dyDescent="0.3">
      <c r="B77" s="24" t="s">
        <v>34</v>
      </c>
      <c r="C77" s="44"/>
      <c r="D77" s="8"/>
      <c r="E77" s="27">
        <f>(-2*LN(E66))+(2*LN(60))</f>
        <v>497.37659305973204</v>
      </c>
      <c r="F77" s="44"/>
      <c r="G77" s="8"/>
      <c r="H77" s="27">
        <f>(-2*LN(H66))+(2*LN(60))</f>
        <v>442.50135702298581</v>
      </c>
      <c r="I77" s="44"/>
      <c r="J77" s="8"/>
      <c r="K77" s="27">
        <f>(-2*LN(K66))+(2*LN(60))</f>
        <v>445.66238283385314</v>
      </c>
      <c r="L77" s="44"/>
      <c r="M77" s="8"/>
      <c r="N77" s="27">
        <f>(-2*LN(N66))+(2*LN(60))</f>
        <v>400.74118996352428</v>
      </c>
      <c r="O77" s="44"/>
      <c r="P77" s="8"/>
      <c r="Q77" s="27">
        <f>(-2*LN(Q66))+(2*LN(60))</f>
        <v>353.09104989507182</v>
      </c>
      <c r="R77" s="44"/>
      <c r="S77" s="8"/>
      <c r="T77" s="27">
        <f>(-2*LN(T66))+(2*LN(60))</f>
        <v>327.07999752203699</v>
      </c>
      <c r="U77" s="44"/>
      <c r="V77" s="8"/>
      <c r="W77" s="27">
        <f>(-2*LN(W66))+(2*LN(60))</f>
        <v>233.40351758141426</v>
      </c>
      <c r="X77" s="44"/>
      <c r="Y77" s="8"/>
      <c r="Z77" s="27">
        <f>(-2*LN(Z66))+(2*LN(60))</f>
        <v>185.33402756031134</v>
      </c>
      <c r="AA77" s="19"/>
      <c r="AB77" s="8"/>
      <c r="AC77" s="27">
        <f>(-2*LN(AC66))+(2*LN(60))</f>
        <v>180.40613223847143</v>
      </c>
    </row>
    <row r="78" spans="2:29" x14ac:dyDescent="0.3">
      <c r="B78" s="22"/>
      <c r="C78" s="11"/>
      <c r="E78" s="12"/>
      <c r="F78" s="11"/>
      <c r="H78" s="12"/>
      <c r="I78" s="11"/>
      <c r="K78" s="12"/>
      <c r="L78" s="11"/>
      <c r="N78" s="12"/>
      <c r="O78" s="11"/>
      <c r="Q78" s="12"/>
      <c r="R78" s="11"/>
      <c r="T78" s="12"/>
      <c r="U78" s="11"/>
      <c r="W78" s="12"/>
      <c r="X78" s="11"/>
      <c r="Z78" s="12"/>
      <c r="AC78" s="12"/>
    </row>
    <row r="79" spans="2:29" x14ac:dyDescent="0.3">
      <c r="B79" s="22"/>
      <c r="C79" s="11"/>
      <c r="E79" s="12"/>
      <c r="F79" s="11"/>
      <c r="H79" s="12"/>
      <c r="I79" s="11"/>
      <c r="K79" s="12"/>
      <c r="L79" s="11"/>
      <c r="N79" s="12"/>
      <c r="O79" s="11"/>
      <c r="Q79" s="12"/>
      <c r="R79" s="11"/>
      <c r="T79" s="12"/>
      <c r="U79" s="11"/>
      <c r="W79" s="12"/>
      <c r="X79" s="11"/>
      <c r="Z79" s="12"/>
      <c r="AC79" s="12"/>
    </row>
    <row r="80" spans="2:29" ht="15" thickBot="1" x14ac:dyDescent="0.35">
      <c r="B80" s="25"/>
      <c r="C80" s="13"/>
      <c r="D80" s="14"/>
      <c r="E80" s="15"/>
      <c r="F80" s="13"/>
      <c r="G80" s="14"/>
      <c r="H80" s="15"/>
      <c r="I80" s="13"/>
      <c r="J80" s="14"/>
      <c r="K80" s="15"/>
      <c r="L80" s="13"/>
      <c r="M80" s="14"/>
      <c r="N80" s="15"/>
      <c r="O80" s="13"/>
      <c r="P80" s="14"/>
      <c r="Q80" s="15"/>
      <c r="R80" s="13"/>
      <c r="S80" s="14"/>
      <c r="T80" s="15"/>
      <c r="U80" s="13"/>
      <c r="V80" s="14"/>
      <c r="W80" s="15"/>
      <c r="X80" s="13"/>
      <c r="Y80" s="14"/>
      <c r="Z80" s="15"/>
      <c r="AA80" s="14"/>
      <c r="AB80" s="14"/>
      <c r="AC80" s="15"/>
    </row>
  </sheetData>
  <mergeCells count="11">
    <mergeCell ref="B2:B4"/>
    <mergeCell ref="R3:T3"/>
    <mergeCell ref="U3:W3"/>
    <mergeCell ref="X3:Z3"/>
    <mergeCell ref="AA3:AC3"/>
    <mergeCell ref="C2:AC2"/>
    <mergeCell ref="C3:E3"/>
    <mergeCell ref="F3:H3"/>
    <mergeCell ref="I3:K3"/>
    <mergeCell ref="L3:N3"/>
    <mergeCell ref="O3:Q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64448-887B-4C36-B52E-D8C50965378B}">
  <dimension ref="B1:N69"/>
  <sheetViews>
    <sheetView topLeftCell="A19" zoomScale="96" workbookViewId="0">
      <selection activeCell="B15" sqref="B15"/>
    </sheetView>
  </sheetViews>
  <sheetFormatPr defaultRowHeight="14.4" x14ac:dyDescent="0.3"/>
  <cols>
    <col min="2" max="2" width="13.33203125" customWidth="1"/>
    <col min="3" max="3" width="17" customWidth="1"/>
  </cols>
  <sheetData>
    <row r="1" spans="2:12" ht="15" thickBot="1" x14ac:dyDescent="0.35"/>
    <row r="2" spans="2:12" x14ac:dyDescent="0.3">
      <c r="B2" s="129" t="s">
        <v>138</v>
      </c>
      <c r="C2" s="138"/>
      <c r="D2" s="138">
        <f>5/60</f>
        <v>8.3333333333333329E-2</v>
      </c>
      <c r="E2" s="138">
        <f>10/60</f>
        <v>0.16666666666666666</v>
      </c>
      <c r="F2" s="138">
        <f>15/60</f>
        <v>0.25</v>
      </c>
      <c r="G2" s="138">
        <f>30/60</f>
        <v>0.5</v>
      </c>
      <c r="H2" s="138">
        <v>1</v>
      </c>
      <c r="I2" s="138">
        <v>2</v>
      </c>
      <c r="J2" s="138">
        <v>6</v>
      </c>
      <c r="K2" s="138">
        <v>12</v>
      </c>
      <c r="L2" s="130">
        <v>24</v>
      </c>
    </row>
    <row r="3" spans="2:12" x14ac:dyDescent="0.3">
      <c r="B3" s="178" t="s">
        <v>90</v>
      </c>
      <c r="C3" s="93" t="s">
        <v>33</v>
      </c>
      <c r="D3" s="93">
        <v>487.5823883580685</v>
      </c>
      <c r="E3" s="93">
        <v>438.37976795492472</v>
      </c>
      <c r="F3" s="93">
        <v>441.16323487558304</v>
      </c>
      <c r="G3" s="93">
        <v>396.65314622280812</v>
      </c>
      <c r="H3" s="93">
        <v>346.66400918939399</v>
      </c>
      <c r="I3" s="93">
        <v>328.72981482462421</v>
      </c>
      <c r="J3" s="93">
        <v>227.43827183875362</v>
      </c>
      <c r="K3" s="93">
        <v>182.72633057132163</v>
      </c>
      <c r="L3" s="98">
        <v>176.17467072557238</v>
      </c>
    </row>
    <row r="4" spans="2:12" x14ac:dyDescent="0.3">
      <c r="B4" s="178"/>
      <c r="C4" s="93" t="s">
        <v>34</v>
      </c>
      <c r="D4" s="93">
        <v>491.77107748251268</v>
      </c>
      <c r="E4" s="93">
        <v>442.5684570793689</v>
      </c>
      <c r="F4" s="93">
        <v>445.35192400002722</v>
      </c>
      <c r="G4" s="93">
        <v>400.8418353472523</v>
      </c>
      <c r="H4" s="93">
        <v>350.85269831383818</v>
      </c>
      <c r="I4" s="93">
        <v>332.91850394906839</v>
      </c>
      <c r="J4" s="93">
        <v>231.62696096319783</v>
      </c>
      <c r="K4" s="93">
        <v>186.91501969576584</v>
      </c>
      <c r="L4" s="98">
        <v>180.36335985001659</v>
      </c>
    </row>
    <row r="5" spans="2:12" x14ac:dyDescent="0.3">
      <c r="B5" s="136"/>
      <c r="C5" s="93"/>
      <c r="D5" s="93"/>
      <c r="E5" s="93"/>
      <c r="F5" s="93"/>
      <c r="G5" s="93"/>
      <c r="H5" s="93"/>
      <c r="I5" s="93"/>
      <c r="J5" s="93"/>
      <c r="K5" s="93"/>
      <c r="L5" s="98"/>
    </row>
    <row r="6" spans="2:12" x14ac:dyDescent="0.3">
      <c r="B6" s="178" t="s">
        <v>91</v>
      </c>
      <c r="C6" s="93" t="s">
        <v>33</v>
      </c>
      <c r="D6" s="93">
        <v>493.18790393528786</v>
      </c>
      <c r="E6" s="93">
        <v>438.31266789854163</v>
      </c>
      <c r="F6" s="93">
        <v>441.47369370940896</v>
      </c>
      <c r="G6" s="93">
        <v>396.5525008390801</v>
      </c>
      <c r="H6" s="93">
        <v>348.90236077062764</v>
      </c>
      <c r="I6" s="93">
        <v>322.89130839759281</v>
      </c>
      <c r="J6" s="93">
        <v>229.21482845697005</v>
      </c>
      <c r="K6" s="93">
        <v>181.14533843586713</v>
      </c>
      <c r="L6" s="98">
        <v>176.21744311402722</v>
      </c>
    </row>
    <row r="7" spans="2:12" x14ac:dyDescent="0.3">
      <c r="B7" s="178"/>
      <c r="C7" s="93" t="s">
        <v>34</v>
      </c>
      <c r="D7" s="93">
        <v>497.37659305973204</v>
      </c>
      <c r="E7" s="93">
        <v>442.50135702298581</v>
      </c>
      <c r="F7" s="93">
        <v>445.66238283385314</v>
      </c>
      <c r="G7" s="93">
        <v>400.74118996352428</v>
      </c>
      <c r="H7" s="93">
        <v>353.09104989507182</v>
      </c>
      <c r="I7" s="93">
        <v>327.07999752203699</v>
      </c>
      <c r="J7" s="93">
        <v>233.40351758141426</v>
      </c>
      <c r="K7" s="93">
        <v>185.33402756031134</v>
      </c>
      <c r="L7" s="98">
        <v>180.40613223847143</v>
      </c>
    </row>
    <row r="8" spans="2:12" x14ac:dyDescent="0.3">
      <c r="B8" s="136"/>
      <c r="C8" s="93"/>
      <c r="D8" s="93"/>
      <c r="E8" s="93"/>
      <c r="F8" s="93"/>
      <c r="G8" s="93"/>
      <c r="H8" s="93"/>
      <c r="I8" s="93"/>
      <c r="J8" s="93"/>
      <c r="K8" s="93"/>
      <c r="L8" s="98"/>
    </row>
    <row r="9" spans="2:12" x14ac:dyDescent="0.3">
      <c r="B9" s="178" t="s">
        <v>136</v>
      </c>
      <c r="C9" s="93" t="s">
        <v>33</v>
      </c>
      <c r="D9" s="93">
        <f t="shared" ref="D9:L10" si="0">MIN(D3,D6)</f>
        <v>487.5823883580685</v>
      </c>
      <c r="E9" s="93">
        <f t="shared" si="0"/>
        <v>438.31266789854163</v>
      </c>
      <c r="F9" s="93">
        <f t="shared" si="0"/>
        <v>441.16323487558304</v>
      </c>
      <c r="G9" s="93">
        <f t="shared" si="0"/>
        <v>396.5525008390801</v>
      </c>
      <c r="H9" s="93">
        <f t="shared" si="0"/>
        <v>346.66400918939399</v>
      </c>
      <c r="I9" s="93">
        <f t="shared" si="0"/>
        <v>322.89130839759281</v>
      </c>
      <c r="J9" s="93">
        <f t="shared" si="0"/>
        <v>227.43827183875362</v>
      </c>
      <c r="K9" s="93">
        <f t="shared" si="0"/>
        <v>181.14533843586713</v>
      </c>
      <c r="L9" s="98">
        <f t="shared" si="0"/>
        <v>176.17467072557238</v>
      </c>
    </row>
    <row r="10" spans="2:12" x14ac:dyDescent="0.3">
      <c r="B10" s="178"/>
      <c r="C10" s="93" t="s">
        <v>34</v>
      </c>
      <c r="D10" s="93">
        <f t="shared" si="0"/>
        <v>491.77107748251268</v>
      </c>
      <c r="E10" s="93">
        <f t="shared" si="0"/>
        <v>442.50135702298581</v>
      </c>
      <c r="F10" s="93">
        <f t="shared" si="0"/>
        <v>445.35192400002722</v>
      </c>
      <c r="G10" s="93">
        <f t="shared" si="0"/>
        <v>400.74118996352428</v>
      </c>
      <c r="H10" s="93">
        <f t="shared" si="0"/>
        <v>350.85269831383818</v>
      </c>
      <c r="I10" s="93">
        <f t="shared" si="0"/>
        <v>327.07999752203699</v>
      </c>
      <c r="J10" s="93">
        <f t="shared" si="0"/>
        <v>231.62696096319783</v>
      </c>
      <c r="K10" s="93">
        <f t="shared" si="0"/>
        <v>185.33402756031134</v>
      </c>
      <c r="L10" s="98">
        <f t="shared" si="0"/>
        <v>180.36335985001659</v>
      </c>
    </row>
    <row r="11" spans="2:12" ht="15" thickBot="1" x14ac:dyDescent="0.35">
      <c r="B11" s="137" t="s">
        <v>137</v>
      </c>
      <c r="C11" s="101"/>
      <c r="D11" s="139" t="s">
        <v>90</v>
      </c>
      <c r="E11" s="141" t="s">
        <v>92</v>
      </c>
      <c r="F11" s="139" t="s">
        <v>90</v>
      </c>
      <c r="G11" s="141" t="s">
        <v>92</v>
      </c>
      <c r="H11" s="139" t="s">
        <v>90</v>
      </c>
      <c r="I11" s="141" t="s">
        <v>92</v>
      </c>
      <c r="J11" s="139" t="s">
        <v>90</v>
      </c>
      <c r="K11" s="141" t="s">
        <v>92</v>
      </c>
      <c r="L11" s="140" t="s">
        <v>90</v>
      </c>
    </row>
    <row r="12" spans="2:12" ht="15" thickBot="1" x14ac:dyDescent="0.35"/>
    <row r="13" spans="2:12" x14ac:dyDescent="0.3">
      <c r="C13" s="131" t="s">
        <v>135</v>
      </c>
      <c r="D13" s="132">
        <f>D2*60</f>
        <v>5</v>
      </c>
      <c r="E13" s="132">
        <f t="shared" ref="E13:L13" si="1">E2*60</f>
        <v>10</v>
      </c>
      <c r="F13" s="132">
        <f t="shared" si="1"/>
        <v>15</v>
      </c>
      <c r="G13" s="132">
        <f t="shared" si="1"/>
        <v>30</v>
      </c>
      <c r="H13" s="132">
        <f t="shared" si="1"/>
        <v>60</v>
      </c>
      <c r="I13" s="132">
        <f t="shared" si="1"/>
        <v>120</v>
      </c>
      <c r="J13" s="132">
        <f t="shared" si="1"/>
        <v>360</v>
      </c>
      <c r="K13" s="132">
        <f t="shared" si="1"/>
        <v>720</v>
      </c>
      <c r="L13" s="133">
        <f t="shared" si="1"/>
        <v>1440</v>
      </c>
    </row>
    <row r="14" spans="2:12" x14ac:dyDescent="0.3">
      <c r="C14" s="134" t="s">
        <v>21</v>
      </c>
      <c r="D14">
        <v>23.319928098632367</v>
      </c>
      <c r="E14">
        <v>22.103607201205559</v>
      </c>
      <c r="F14">
        <v>21.333642796544428</v>
      </c>
      <c r="G14">
        <v>19.088791789875874</v>
      </c>
      <c r="H14">
        <v>17.178229366542677</v>
      </c>
      <c r="I14">
        <v>15.778671972805366</v>
      </c>
      <c r="J14">
        <v>6.6718166297222217</v>
      </c>
      <c r="K14">
        <v>4.4326271547105813</v>
      </c>
      <c r="L14" s="12">
        <v>3.457432427869112</v>
      </c>
    </row>
    <row r="15" spans="2:12" x14ac:dyDescent="0.3">
      <c r="C15" s="134" t="s">
        <v>22</v>
      </c>
      <c r="D15">
        <v>36.371395540751855</v>
      </c>
      <c r="E15">
        <v>31.260966669494554</v>
      </c>
      <c r="F15">
        <v>29.885654083699521</v>
      </c>
      <c r="G15">
        <v>25.34322094289443</v>
      </c>
      <c r="H15">
        <v>21.453833498750534</v>
      </c>
      <c r="I15">
        <v>18.996229180229484</v>
      </c>
      <c r="J15">
        <v>8.2000317826338058</v>
      </c>
      <c r="K15">
        <v>5.4288989412654045</v>
      </c>
      <c r="L15" s="12">
        <v>4.42815401036259</v>
      </c>
    </row>
    <row r="16" spans="2:12" x14ac:dyDescent="0.3">
      <c r="C16" s="134" t="s">
        <v>23</v>
      </c>
      <c r="D16">
        <v>45.012602633088946</v>
      </c>
      <c r="E16">
        <v>37.470711224331367</v>
      </c>
      <c r="F16">
        <v>35.547829690851827</v>
      </c>
      <c r="G16">
        <v>29.390005522548599</v>
      </c>
      <c r="H16">
        <v>24.284655466863292</v>
      </c>
      <c r="I16">
        <v>20.931331501124955</v>
      </c>
      <c r="J16">
        <v>9.2118431882493628</v>
      </c>
      <c r="K16">
        <v>6.0358347698838957</v>
      </c>
      <c r="L16" s="12">
        <v>5.070856163245189</v>
      </c>
    </row>
    <row r="17" spans="2:14" x14ac:dyDescent="0.3">
      <c r="C17" s="134" t="s">
        <v>24</v>
      </c>
      <c r="D17">
        <v>55.930790701652768</v>
      </c>
      <c r="E17">
        <v>45.457460137216898</v>
      </c>
      <c r="F17">
        <v>42.702003580625302</v>
      </c>
      <c r="G17">
        <v>34.419812984625302</v>
      </c>
      <c r="H17">
        <v>27.861406527937316</v>
      </c>
      <c r="I17">
        <v>23.2125588419538</v>
      </c>
      <c r="J17">
        <v>10.490269581504654</v>
      </c>
      <c r="K17">
        <v>6.7580013350492232</v>
      </c>
      <c r="L17" s="12">
        <v>5.8829120371827281</v>
      </c>
    </row>
    <row r="18" spans="2:14" ht="15" thickBot="1" x14ac:dyDescent="0.35">
      <c r="C18" s="135" t="s">
        <v>25</v>
      </c>
      <c r="D18" s="14">
        <v>64.030526320634578</v>
      </c>
      <c r="E18" s="14">
        <v>51.500739102872714</v>
      </c>
      <c r="F18" s="14">
        <v>48.009378459633986</v>
      </c>
      <c r="G18" s="14">
        <v>38.117999591640697</v>
      </c>
      <c r="H18" s="14">
        <v>30.514844789641771</v>
      </c>
      <c r="I18" s="14">
        <v>24.816784230569965</v>
      </c>
      <c r="J18" s="14">
        <v>11.438679311092544</v>
      </c>
      <c r="K18" s="14">
        <v>7.2698384207884281</v>
      </c>
      <c r="L18" s="15">
        <v>6.485341473773345</v>
      </c>
    </row>
    <row r="23" spans="2:14" x14ac:dyDescent="0.3">
      <c r="B23" s="179" t="s">
        <v>48</v>
      </c>
      <c r="C23" s="179" t="s">
        <v>49</v>
      </c>
      <c r="D23" s="179" t="s">
        <v>50</v>
      </c>
    </row>
    <row r="24" spans="2:14" x14ac:dyDescent="0.3">
      <c r="B24" s="179"/>
      <c r="C24" s="179"/>
      <c r="D24" s="179"/>
    </row>
    <row r="25" spans="2:14" x14ac:dyDescent="0.3">
      <c r="B25">
        <v>5</v>
      </c>
      <c r="C25">
        <v>23.319928098632367</v>
      </c>
      <c r="D25">
        <v>2</v>
      </c>
      <c r="M25" t="s">
        <v>51</v>
      </c>
      <c r="N25">
        <v>121.58799999999999</v>
      </c>
    </row>
    <row r="26" spans="2:14" x14ac:dyDescent="0.3">
      <c r="B26">
        <v>10</v>
      </c>
      <c r="C26">
        <v>22.103607201205559</v>
      </c>
      <c r="D26">
        <v>2</v>
      </c>
      <c r="M26" t="s">
        <v>52</v>
      </c>
      <c r="N26">
        <v>0.229237</v>
      </c>
    </row>
    <row r="27" spans="2:14" x14ac:dyDescent="0.3">
      <c r="B27">
        <v>15</v>
      </c>
      <c r="C27">
        <v>21.333642796544428</v>
      </c>
      <c r="D27">
        <v>2</v>
      </c>
      <c r="M27" t="s">
        <v>14</v>
      </c>
      <c r="N27">
        <v>17.211099999999998</v>
      </c>
    </row>
    <row r="28" spans="2:14" x14ac:dyDescent="0.3">
      <c r="B28">
        <v>30</v>
      </c>
      <c r="C28">
        <v>19.088791789875874</v>
      </c>
      <c r="D28">
        <v>2</v>
      </c>
      <c r="M28" t="s">
        <v>93</v>
      </c>
      <c r="N28">
        <v>0.51322800000000002</v>
      </c>
    </row>
    <row r="29" spans="2:14" x14ac:dyDescent="0.3">
      <c r="B29">
        <v>60</v>
      </c>
      <c r="C29">
        <v>17.178229366542677</v>
      </c>
      <c r="D29">
        <v>2</v>
      </c>
    </row>
    <row r="30" spans="2:14" x14ac:dyDescent="0.3">
      <c r="B30">
        <v>120</v>
      </c>
      <c r="C30">
        <v>15.778671972805366</v>
      </c>
      <c r="D30">
        <v>2</v>
      </c>
    </row>
    <row r="31" spans="2:14" x14ac:dyDescent="0.3">
      <c r="B31">
        <v>360</v>
      </c>
      <c r="C31">
        <v>6.6718166297222217</v>
      </c>
      <c r="D31">
        <v>2</v>
      </c>
    </row>
    <row r="32" spans="2:14" x14ac:dyDescent="0.3">
      <c r="B32">
        <v>720</v>
      </c>
      <c r="C32">
        <v>4.4326271547105813</v>
      </c>
      <c r="D32">
        <v>2</v>
      </c>
    </row>
    <row r="33" spans="2:4" x14ac:dyDescent="0.3">
      <c r="B33">
        <v>1440</v>
      </c>
      <c r="C33">
        <v>3.457432427869112</v>
      </c>
      <c r="D33">
        <v>2</v>
      </c>
    </row>
    <row r="34" spans="2:4" x14ac:dyDescent="0.3">
      <c r="B34">
        <v>5</v>
      </c>
      <c r="C34">
        <v>36.371395540751855</v>
      </c>
      <c r="D34">
        <v>5</v>
      </c>
    </row>
    <row r="35" spans="2:4" x14ac:dyDescent="0.3">
      <c r="B35">
        <v>10</v>
      </c>
      <c r="C35">
        <v>31.260966669494554</v>
      </c>
      <c r="D35">
        <v>5</v>
      </c>
    </row>
    <row r="36" spans="2:4" x14ac:dyDescent="0.3">
      <c r="B36">
        <v>15</v>
      </c>
      <c r="C36">
        <v>29.885654083699521</v>
      </c>
      <c r="D36">
        <v>5</v>
      </c>
    </row>
    <row r="37" spans="2:4" x14ac:dyDescent="0.3">
      <c r="B37">
        <v>30</v>
      </c>
      <c r="C37">
        <v>25.34322094289443</v>
      </c>
      <c r="D37">
        <v>5</v>
      </c>
    </row>
    <row r="38" spans="2:4" x14ac:dyDescent="0.3">
      <c r="B38">
        <v>60</v>
      </c>
      <c r="C38">
        <v>21.453833498750534</v>
      </c>
      <c r="D38">
        <v>5</v>
      </c>
    </row>
    <row r="39" spans="2:4" x14ac:dyDescent="0.3">
      <c r="B39">
        <v>120</v>
      </c>
      <c r="C39">
        <v>18.996229180229484</v>
      </c>
      <c r="D39">
        <v>5</v>
      </c>
    </row>
    <row r="40" spans="2:4" x14ac:dyDescent="0.3">
      <c r="B40">
        <v>360</v>
      </c>
      <c r="C40">
        <v>8.2000317826338058</v>
      </c>
      <c r="D40">
        <v>5</v>
      </c>
    </row>
    <row r="41" spans="2:4" x14ac:dyDescent="0.3">
      <c r="B41">
        <v>720</v>
      </c>
      <c r="C41">
        <v>5.4288989412654045</v>
      </c>
      <c r="D41">
        <v>5</v>
      </c>
    </row>
    <row r="42" spans="2:4" x14ac:dyDescent="0.3">
      <c r="B42">
        <v>1440</v>
      </c>
      <c r="C42">
        <v>4.42815401036259</v>
      </c>
      <c r="D42">
        <v>5</v>
      </c>
    </row>
    <row r="43" spans="2:4" x14ac:dyDescent="0.3">
      <c r="B43">
        <v>5</v>
      </c>
      <c r="C43">
        <v>45.012602633088946</v>
      </c>
      <c r="D43">
        <v>10</v>
      </c>
    </row>
    <row r="44" spans="2:4" x14ac:dyDescent="0.3">
      <c r="B44">
        <v>10</v>
      </c>
      <c r="C44">
        <v>37.470711224331367</v>
      </c>
      <c r="D44">
        <v>10</v>
      </c>
    </row>
    <row r="45" spans="2:4" x14ac:dyDescent="0.3">
      <c r="B45">
        <v>15</v>
      </c>
      <c r="C45">
        <v>35.547829690851827</v>
      </c>
      <c r="D45">
        <v>10</v>
      </c>
    </row>
    <row r="46" spans="2:4" x14ac:dyDescent="0.3">
      <c r="B46">
        <v>30</v>
      </c>
      <c r="C46">
        <v>29.390005522548599</v>
      </c>
      <c r="D46">
        <v>10</v>
      </c>
    </row>
    <row r="47" spans="2:4" x14ac:dyDescent="0.3">
      <c r="B47">
        <v>60</v>
      </c>
      <c r="C47">
        <v>24.284655466863292</v>
      </c>
      <c r="D47">
        <v>10</v>
      </c>
    </row>
    <row r="48" spans="2:4" x14ac:dyDescent="0.3">
      <c r="B48">
        <v>120</v>
      </c>
      <c r="C48">
        <v>20.931331501124955</v>
      </c>
      <c r="D48">
        <v>10</v>
      </c>
    </row>
    <row r="49" spans="2:12" x14ac:dyDescent="0.3">
      <c r="B49">
        <v>360</v>
      </c>
      <c r="C49">
        <v>9.2118431882493628</v>
      </c>
      <c r="D49">
        <v>10</v>
      </c>
      <c r="K49" t="s">
        <v>51</v>
      </c>
      <c r="L49">
        <v>121.58799999999999</v>
      </c>
    </row>
    <row r="50" spans="2:12" x14ac:dyDescent="0.3">
      <c r="B50">
        <v>720</v>
      </c>
      <c r="C50">
        <v>6.0358347698838957</v>
      </c>
      <c r="D50">
        <v>10</v>
      </c>
      <c r="K50" t="s">
        <v>52</v>
      </c>
      <c r="L50">
        <v>0.229237</v>
      </c>
    </row>
    <row r="51" spans="2:12" x14ac:dyDescent="0.3">
      <c r="B51">
        <v>1440</v>
      </c>
      <c r="C51">
        <v>5.070856163245189</v>
      </c>
      <c r="D51">
        <v>10</v>
      </c>
      <c r="K51" t="s">
        <v>14</v>
      </c>
      <c r="L51">
        <v>17.211099999999998</v>
      </c>
    </row>
    <row r="52" spans="2:12" x14ac:dyDescent="0.3">
      <c r="B52">
        <v>5</v>
      </c>
      <c r="C52">
        <v>55.930790701652768</v>
      </c>
      <c r="D52">
        <v>25</v>
      </c>
      <c r="K52" t="s">
        <v>93</v>
      </c>
      <c r="L52">
        <v>0.51322800000000002</v>
      </c>
    </row>
    <row r="53" spans="2:12" x14ac:dyDescent="0.3">
      <c r="B53">
        <v>10</v>
      </c>
      <c r="C53">
        <v>45.457460137216898</v>
      </c>
      <c r="D53">
        <v>25</v>
      </c>
    </row>
    <row r="54" spans="2:12" x14ac:dyDescent="0.3">
      <c r="B54">
        <v>15</v>
      </c>
      <c r="C54">
        <v>42.702003580625302</v>
      </c>
      <c r="D54">
        <v>25</v>
      </c>
    </row>
    <row r="55" spans="2:12" x14ac:dyDescent="0.3">
      <c r="B55">
        <v>30</v>
      </c>
      <c r="C55">
        <v>34.419812984625302</v>
      </c>
      <c r="D55">
        <v>25</v>
      </c>
    </row>
    <row r="56" spans="2:12" x14ac:dyDescent="0.3">
      <c r="B56">
        <v>60</v>
      </c>
      <c r="C56">
        <v>27.861406527937316</v>
      </c>
      <c r="D56">
        <v>25</v>
      </c>
    </row>
    <row r="57" spans="2:12" x14ac:dyDescent="0.3">
      <c r="B57">
        <v>120</v>
      </c>
      <c r="C57">
        <v>23.2125588419538</v>
      </c>
      <c r="D57">
        <v>25</v>
      </c>
    </row>
    <row r="58" spans="2:12" x14ac:dyDescent="0.3">
      <c r="B58">
        <v>360</v>
      </c>
      <c r="C58">
        <v>10.490269581504654</v>
      </c>
      <c r="D58">
        <v>25</v>
      </c>
    </row>
    <row r="59" spans="2:12" x14ac:dyDescent="0.3">
      <c r="B59">
        <v>720</v>
      </c>
      <c r="C59">
        <v>6.7580013350492232</v>
      </c>
      <c r="D59">
        <v>25</v>
      </c>
    </row>
    <row r="60" spans="2:12" x14ac:dyDescent="0.3">
      <c r="B60">
        <v>1440</v>
      </c>
      <c r="C60">
        <v>5.8829120371827281</v>
      </c>
      <c r="D60">
        <v>25</v>
      </c>
    </row>
    <row r="61" spans="2:12" x14ac:dyDescent="0.3">
      <c r="B61">
        <v>5</v>
      </c>
      <c r="C61">
        <v>64.030526320634578</v>
      </c>
      <c r="D61">
        <v>50</v>
      </c>
    </row>
    <row r="62" spans="2:12" x14ac:dyDescent="0.3">
      <c r="B62">
        <v>10</v>
      </c>
      <c r="C62">
        <v>51.500739102872714</v>
      </c>
      <c r="D62">
        <v>50</v>
      </c>
    </row>
    <row r="63" spans="2:12" x14ac:dyDescent="0.3">
      <c r="B63">
        <v>15</v>
      </c>
      <c r="C63">
        <v>48.009378459633986</v>
      </c>
      <c r="D63">
        <v>50</v>
      </c>
    </row>
    <row r="64" spans="2:12" x14ac:dyDescent="0.3">
      <c r="B64">
        <v>30</v>
      </c>
      <c r="C64">
        <v>38.117999591640697</v>
      </c>
      <c r="D64">
        <v>50</v>
      </c>
    </row>
    <row r="65" spans="2:4" x14ac:dyDescent="0.3">
      <c r="B65">
        <v>60</v>
      </c>
      <c r="C65">
        <v>30.514844789641771</v>
      </c>
      <c r="D65">
        <v>50</v>
      </c>
    </row>
    <row r="66" spans="2:4" x14ac:dyDescent="0.3">
      <c r="B66">
        <v>120</v>
      </c>
      <c r="C66">
        <v>24.816784230569965</v>
      </c>
      <c r="D66">
        <v>50</v>
      </c>
    </row>
    <row r="67" spans="2:4" x14ac:dyDescent="0.3">
      <c r="B67">
        <v>360</v>
      </c>
      <c r="C67">
        <v>11.438679311092544</v>
      </c>
      <c r="D67">
        <v>50</v>
      </c>
    </row>
    <row r="68" spans="2:4" x14ac:dyDescent="0.3">
      <c r="B68">
        <v>720</v>
      </c>
      <c r="C68">
        <v>7.2698384207884281</v>
      </c>
      <c r="D68">
        <v>50</v>
      </c>
    </row>
    <row r="69" spans="2:4" x14ac:dyDescent="0.3">
      <c r="B69">
        <v>1440</v>
      </c>
      <c r="C69">
        <v>6.485341473773345</v>
      </c>
      <c r="D69">
        <v>50</v>
      </c>
    </row>
  </sheetData>
  <mergeCells count="6">
    <mergeCell ref="B3:B4"/>
    <mergeCell ref="B6:B7"/>
    <mergeCell ref="B23:B24"/>
    <mergeCell ref="C23:C24"/>
    <mergeCell ref="D23:D24"/>
    <mergeCell ref="B9:B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7483C-B24A-469C-B368-C333548AA8BD}">
  <dimension ref="B1:AF32"/>
  <sheetViews>
    <sheetView zoomScale="24" workbookViewId="0">
      <selection activeCell="Z31" sqref="Z31"/>
    </sheetView>
  </sheetViews>
  <sheetFormatPr defaultRowHeight="14.4" x14ac:dyDescent="0.3"/>
  <cols>
    <col min="2" max="2" width="11.5546875" customWidth="1"/>
    <col min="3" max="3" width="23.5546875" customWidth="1"/>
    <col min="14" max="14" width="13.44140625" customWidth="1"/>
    <col min="19" max="19" width="11" customWidth="1"/>
    <col min="26" max="26" width="31.88671875" customWidth="1"/>
  </cols>
  <sheetData>
    <row r="1" spans="2:32" ht="15" thickBot="1" x14ac:dyDescent="0.35"/>
    <row r="2" spans="2:32" ht="15" thickBot="1" x14ac:dyDescent="0.35">
      <c r="B2" s="144" t="s">
        <v>81</v>
      </c>
      <c r="C2" s="133" t="s">
        <v>82</v>
      </c>
    </row>
    <row r="3" spans="2:32" x14ac:dyDescent="0.3">
      <c r="B3" s="145" t="s">
        <v>78</v>
      </c>
      <c r="C3" s="128">
        <v>0.5</v>
      </c>
    </row>
    <row r="4" spans="2:32" x14ac:dyDescent="0.3">
      <c r="B4" s="146" t="s">
        <v>79</v>
      </c>
      <c r="C4" s="98">
        <v>0.2</v>
      </c>
    </row>
    <row r="5" spans="2:32" ht="15" thickBot="1" x14ac:dyDescent="0.35">
      <c r="B5" s="147" t="s">
        <v>80</v>
      </c>
      <c r="C5" s="102">
        <v>0.9</v>
      </c>
    </row>
    <row r="8" spans="2:32" x14ac:dyDescent="0.3">
      <c r="B8" t="s">
        <v>83</v>
      </c>
      <c r="C8" t="s">
        <v>84</v>
      </c>
      <c r="D8" t="s">
        <v>85</v>
      </c>
    </row>
    <row r="9" spans="2:32" ht="15" thickBot="1" x14ac:dyDescent="0.35">
      <c r="B9" s="196" t="s">
        <v>76</v>
      </c>
      <c r="C9">
        <v>58</v>
      </c>
      <c r="D9">
        <f>(C9*C$3+C10*C$4+C11*C$5)/(100)</f>
        <v>0.44400000000000001</v>
      </c>
    </row>
    <row r="10" spans="2:32" ht="69.599999999999994" customHeight="1" thickBot="1" x14ac:dyDescent="0.35">
      <c r="B10" s="196"/>
      <c r="C10">
        <v>32</v>
      </c>
      <c r="M10" s="180" t="s">
        <v>94</v>
      </c>
      <c r="N10" s="87" t="s">
        <v>95</v>
      </c>
      <c r="O10" s="192" t="s">
        <v>97</v>
      </c>
      <c r="P10" s="193"/>
      <c r="Q10" s="87" t="s">
        <v>98</v>
      </c>
      <c r="R10" s="180" t="s">
        <v>100</v>
      </c>
      <c r="S10" s="180" t="s">
        <v>101</v>
      </c>
      <c r="T10" s="180" t="s">
        <v>85</v>
      </c>
      <c r="Z10" t="s">
        <v>108</v>
      </c>
      <c r="AB10">
        <f>0.513228*2/5</f>
        <v>0.20529120000000001</v>
      </c>
    </row>
    <row r="11" spans="2:32" ht="28.8" customHeight="1" thickBot="1" x14ac:dyDescent="0.35">
      <c r="B11" s="196"/>
      <c r="C11">
        <v>10</v>
      </c>
      <c r="M11" s="181"/>
      <c r="N11" s="84" t="s">
        <v>96</v>
      </c>
      <c r="O11" s="194"/>
      <c r="P11" s="195"/>
      <c r="Q11" s="84" t="s">
        <v>99</v>
      </c>
      <c r="R11" s="181"/>
      <c r="S11" s="181"/>
      <c r="T11" s="181"/>
    </row>
    <row r="12" spans="2:32" ht="36.6" thickBot="1" x14ac:dyDescent="0.35">
      <c r="B12" s="196" t="s">
        <v>77</v>
      </c>
      <c r="C12">
        <v>60</v>
      </c>
      <c r="D12">
        <f>(C12*C$3+C13*C$4+C14*C$5)/(100)</f>
        <v>0.436</v>
      </c>
      <c r="M12" s="180" t="s">
        <v>76</v>
      </c>
      <c r="N12" s="188">
        <v>0.9</v>
      </c>
      <c r="O12" s="85" t="s">
        <v>102</v>
      </c>
      <c r="P12" s="85">
        <v>58</v>
      </c>
      <c r="Q12" s="188">
        <v>87.2</v>
      </c>
      <c r="R12" s="188">
        <v>8.9999999999999993E-3</v>
      </c>
      <c r="S12" s="188">
        <v>3.9E-2</v>
      </c>
      <c r="T12" s="182">
        <f>D9</f>
        <v>0.44400000000000001</v>
      </c>
      <c r="AA12" t="s">
        <v>105</v>
      </c>
      <c r="AB12" t="s">
        <v>106</v>
      </c>
      <c r="AC12" t="s">
        <v>87</v>
      </c>
      <c r="AD12" t="s">
        <v>107</v>
      </c>
      <c r="AE12" t="s">
        <v>109</v>
      </c>
      <c r="AF12" t="s">
        <v>86</v>
      </c>
    </row>
    <row r="13" spans="2:32" ht="72.599999999999994" thickBot="1" x14ac:dyDescent="0.35">
      <c r="B13" s="196"/>
      <c r="C13">
        <v>32</v>
      </c>
      <c r="M13" s="191"/>
      <c r="N13" s="189"/>
      <c r="O13" s="85" t="s">
        <v>103</v>
      </c>
      <c r="P13" s="85">
        <v>32</v>
      </c>
      <c r="Q13" s="189"/>
      <c r="R13" s="189"/>
      <c r="S13" s="189"/>
      <c r="T13" s="183"/>
      <c r="Z13">
        <f>121.588*D9*(5^(0.229237))</f>
        <v>78.073468141799594</v>
      </c>
      <c r="AA13">
        <f>(S12*Q12/SQRT(R12))^(3/5)</f>
        <v>8.5639850866959684</v>
      </c>
      <c r="AB13">
        <f>6.99/(Z13)^(2/5)</f>
        <v>1.2231389241631763</v>
      </c>
      <c r="AC13" s="89">
        <v>18.7867</v>
      </c>
      <c r="AD13">
        <f>(121.588*5^(0.229237))/(AC13+17.2111)^0.513228</f>
        <v>27.950919758215385</v>
      </c>
      <c r="AE13">
        <f>AA13*AB13</f>
        <v>10.474943505490792</v>
      </c>
    </row>
    <row r="14" spans="2:32" ht="54.6" thickBot="1" x14ac:dyDescent="0.35">
      <c r="B14" s="196"/>
      <c r="C14">
        <v>8</v>
      </c>
      <c r="M14" s="181"/>
      <c r="N14" s="190"/>
      <c r="O14" s="85" t="s">
        <v>104</v>
      </c>
      <c r="P14" s="85">
        <v>10</v>
      </c>
      <c r="Q14" s="190"/>
      <c r="R14" s="190"/>
      <c r="S14" s="190"/>
      <c r="T14" s="184"/>
      <c r="AE14">
        <f t="shared" ref="AE14:AE25" si="0">AA14*AB14</f>
        <v>0</v>
      </c>
    </row>
    <row r="15" spans="2:32" ht="36.6" thickBot="1" x14ac:dyDescent="0.35">
      <c r="B15" s="196" t="s">
        <v>66</v>
      </c>
      <c r="C15">
        <v>40</v>
      </c>
      <c r="D15">
        <f>(C15*C$3+C16*C$4+C17*C$5)/(100)</f>
        <v>0.39</v>
      </c>
      <c r="M15" s="180" t="s">
        <v>77</v>
      </c>
      <c r="N15" s="188">
        <v>0.85</v>
      </c>
      <c r="O15" s="85" t="s">
        <v>102</v>
      </c>
      <c r="P15" s="85">
        <v>60</v>
      </c>
      <c r="Q15" s="188">
        <v>85.6</v>
      </c>
      <c r="R15" s="188">
        <v>8.0000000000000002E-3</v>
      </c>
      <c r="S15" s="188">
        <v>3.2000000000000001E-2</v>
      </c>
      <c r="T15" s="185">
        <f>D12</f>
        <v>0.436</v>
      </c>
      <c r="AE15">
        <f t="shared" si="0"/>
        <v>0</v>
      </c>
    </row>
    <row r="16" spans="2:32" ht="72.599999999999994" thickBot="1" x14ac:dyDescent="0.35">
      <c r="B16" s="196"/>
      <c r="C16">
        <v>50</v>
      </c>
      <c r="M16" s="191"/>
      <c r="N16" s="189"/>
      <c r="O16" s="85" t="s">
        <v>103</v>
      </c>
      <c r="P16" s="85">
        <v>32</v>
      </c>
      <c r="Q16" s="189"/>
      <c r="R16" s="189"/>
      <c r="S16" s="189"/>
      <c r="T16" s="186"/>
      <c r="Z16">
        <f>121.588*D12*(5^(0.229237))</f>
        <v>76.666738986091488</v>
      </c>
      <c r="AA16">
        <f>(S15*Q15/SQRT(R15))^(3/5)</f>
        <v>7.7919696036981483</v>
      </c>
      <c r="AB16">
        <f>6.99/(Z16)^(2/5)</f>
        <v>1.232067152869488</v>
      </c>
      <c r="AC16" s="88">
        <v>17.2179</v>
      </c>
      <c r="AD16">
        <f>(121.588*5^(0.229237))/(AC16+17.2111)^0.513228</f>
        <v>28.597486343958884</v>
      </c>
      <c r="AE16">
        <f t="shared" si="0"/>
        <v>9.6002298048739707</v>
      </c>
    </row>
    <row r="17" spans="2:31" ht="54.6" thickBot="1" x14ac:dyDescent="0.35">
      <c r="B17" s="196"/>
      <c r="C17">
        <v>10</v>
      </c>
      <c r="M17" s="181"/>
      <c r="N17" s="190"/>
      <c r="O17" s="85" t="s">
        <v>104</v>
      </c>
      <c r="P17" s="85">
        <v>8</v>
      </c>
      <c r="Q17" s="190"/>
      <c r="R17" s="190"/>
      <c r="S17" s="190"/>
      <c r="T17" s="187"/>
      <c r="AE17">
        <f t="shared" si="0"/>
        <v>0</v>
      </c>
    </row>
    <row r="18" spans="2:31" ht="36.6" thickBot="1" x14ac:dyDescent="0.35">
      <c r="B18" s="196" t="s">
        <v>67</v>
      </c>
      <c r="C18">
        <v>65</v>
      </c>
      <c r="D18">
        <f>(C18*C$3+C19*C$4+C20*C$5)/(100)</f>
        <v>0.45100000000000001</v>
      </c>
      <c r="M18" s="180" t="s">
        <v>66</v>
      </c>
      <c r="N18" s="188">
        <v>0.4</v>
      </c>
      <c r="O18" s="85" t="s">
        <v>102</v>
      </c>
      <c r="P18" s="85">
        <v>40</v>
      </c>
      <c r="Q18" s="188">
        <v>40.299999999999997</v>
      </c>
      <c r="R18" s="188">
        <v>0.01</v>
      </c>
      <c r="S18" s="188">
        <v>2.5000000000000001E-2</v>
      </c>
      <c r="T18" s="185">
        <f>D15</f>
        <v>0.39</v>
      </c>
      <c r="AE18">
        <f t="shared" si="0"/>
        <v>0</v>
      </c>
    </row>
    <row r="19" spans="2:31" ht="72.599999999999994" thickBot="1" x14ac:dyDescent="0.35">
      <c r="B19" s="196"/>
      <c r="C19">
        <v>27</v>
      </c>
      <c r="M19" s="191"/>
      <c r="N19" s="189"/>
      <c r="O19" s="85" t="s">
        <v>103</v>
      </c>
      <c r="P19" s="85">
        <v>50</v>
      </c>
      <c r="Q19" s="189"/>
      <c r="R19" s="189"/>
      <c r="S19" s="189"/>
      <c r="T19" s="186"/>
      <c r="Z19">
        <f>121.588*D15*(5^(0.229237))</f>
        <v>68.578046340769916</v>
      </c>
      <c r="AA19">
        <f>(S18*Q18/SQRT(R18))^(3/5)</f>
        <v>3.9989597496075953</v>
      </c>
      <c r="AB19">
        <f>6.99/(Z19)^(2/5)</f>
        <v>1.2882588429507373</v>
      </c>
      <c r="AC19" s="89">
        <v>9.2394999999999996</v>
      </c>
      <c r="AD19">
        <f>(121.588*5^(0.229237))/(AC19+17.2111)^0.513228</f>
        <v>32.740609543815168</v>
      </c>
      <c r="AE19">
        <f t="shared" si="0"/>
        <v>5.1516952600360506</v>
      </c>
    </row>
    <row r="20" spans="2:31" ht="54.6" thickBot="1" x14ac:dyDescent="0.35">
      <c r="B20" s="196"/>
      <c r="C20">
        <v>8</v>
      </c>
      <c r="M20" s="181"/>
      <c r="N20" s="190"/>
      <c r="O20" s="85" t="s">
        <v>104</v>
      </c>
      <c r="P20" s="85">
        <v>10</v>
      </c>
      <c r="Q20" s="190"/>
      <c r="R20" s="190"/>
      <c r="S20" s="190"/>
      <c r="T20" s="187"/>
      <c r="AE20">
        <f t="shared" si="0"/>
        <v>0</v>
      </c>
    </row>
    <row r="21" spans="2:31" ht="36.6" thickBot="1" x14ac:dyDescent="0.35">
      <c r="B21" s="196" t="s">
        <v>68</v>
      </c>
      <c r="C21">
        <v>55</v>
      </c>
      <c r="D21">
        <f>(C21*C$3+C22*C$4+C23*C$5)/(100)</f>
        <v>0.435</v>
      </c>
      <c r="M21" s="180" t="s">
        <v>67</v>
      </c>
      <c r="N21" s="188">
        <v>0.84</v>
      </c>
      <c r="O21" s="85" t="s">
        <v>102</v>
      </c>
      <c r="P21" s="85">
        <v>65</v>
      </c>
      <c r="Q21" s="188">
        <v>83.2</v>
      </c>
      <c r="R21" s="188">
        <v>1.2E-2</v>
      </c>
      <c r="S21" s="188">
        <v>0.03</v>
      </c>
      <c r="T21" s="185">
        <f>D18</f>
        <v>0.45100000000000001</v>
      </c>
      <c r="AE21">
        <f t="shared" si="0"/>
        <v>0</v>
      </c>
    </row>
    <row r="22" spans="2:31" ht="72.599999999999994" thickBot="1" x14ac:dyDescent="0.35">
      <c r="B22" s="196"/>
      <c r="C22">
        <v>35</v>
      </c>
      <c r="M22" s="191"/>
      <c r="N22" s="189"/>
      <c r="O22" s="85" t="s">
        <v>103</v>
      </c>
      <c r="P22" s="85">
        <v>27</v>
      </c>
      <c r="Q22" s="189"/>
      <c r="R22" s="189"/>
      <c r="S22" s="189"/>
      <c r="T22" s="186"/>
      <c r="Z22">
        <f>121.588*D18*(5^(0.229237))</f>
        <v>79.304356153044182</v>
      </c>
      <c r="AA22">
        <f>(S21*Q21/SQRT(R21))^(3/5)</f>
        <v>6.5251781731285687</v>
      </c>
      <c r="AB22">
        <f>6.99/(Z22)^(2/5)</f>
        <v>1.2155095023173328</v>
      </c>
      <c r="AC22" s="88">
        <v>14.2249</v>
      </c>
      <c r="AD22">
        <f>(121.588*5^(0.229237))/(AC22+17.2111)^0.513228</f>
        <v>29.963938262741763</v>
      </c>
      <c r="AE22">
        <f t="shared" si="0"/>
        <v>7.9314160737514294</v>
      </c>
    </row>
    <row r="23" spans="2:31" ht="54.6" thickBot="1" x14ac:dyDescent="0.35">
      <c r="B23" s="196"/>
      <c r="C23">
        <v>10</v>
      </c>
      <c r="M23" s="181"/>
      <c r="N23" s="190"/>
      <c r="O23" s="85" t="s">
        <v>104</v>
      </c>
      <c r="P23" s="85">
        <v>8</v>
      </c>
      <c r="Q23" s="190"/>
      <c r="R23" s="190"/>
      <c r="S23" s="190"/>
      <c r="T23" s="187"/>
      <c r="AC23" s="90"/>
      <c r="AE23">
        <f t="shared" si="0"/>
        <v>0</v>
      </c>
    </row>
    <row r="24" spans="2:31" ht="36.6" thickBot="1" x14ac:dyDescent="0.35">
      <c r="M24" s="180" t="s">
        <v>68</v>
      </c>
      <c r="N24" s="188">
        <v>0.9</v>
      </c>
      <c r="O24" s="85" t="s">
        <v>102</v>
      </c>
      <c r="P24" s="85">
        <v>55</v>
      </c>
      <c r="Q24" s="188">
        <v>86</v>
      </c>
      <c r="R24" s="188">
        <v>1.2999999999999999E-3</v>
      </c>
      <c r="S24" s="188">
        <v>3.5000000000000003E-2</v>
      </c>
      <c r="T24" s="185">
        <f>D21</f>
        <v>0.435</v>
      </c>
      <c r="AC24" s="90"/>
      <c r="AE24">
        <f t="shared" si="0"/>
        <v>0</v>
      </c>
    </row>
    <row r="25" spans="2:31" ht="72.599999999999994" thickBot="1" x14ac:dyDescent="0.35">
      <c r="M25" s="191"/>
      <c r="N25" s="189"/>
      <c r="O25" s="85" t="s">
        <v>103</v>
      </c>
      <c r="P25" s="85">
        <v>35</v>
      </c>
      <c r="Q25" s="189"/>
      <c r="R25" s="189"/>
      <c r="S25" s="189"/>
      <c r="T25" s="186"/>
      <c r="Z25">
        <f>121.588*D21*(5^(0.229237))</f>
        <v>76.490897841627984</v>
      </c>
      <c r="AA25">
        <f>(S24*Q24/SQRT(R24))^(3/5)</f>
        <v>14.22187612904618</v>
      </c>
      <c r="AB25">
        <f>6.99/(Z25)^(2/5)</f>
        <v>1.2331993078043018</v>
      </c>
      <c r="AC25" s="88">
        <v>31.454999999999998</v>
      </c>
      <c r="AD25">
        <f>(121.588*5^(0.229237))/(AC25+17.2111)^0.513228</f>
        <v>23.943553042813758</v>
      </c>
      <c r="AE25">
        <f t="shared" si="0"/>
        <v>17.538407798018273</v>
      </c>
    </row>
    <row r="26" spans="2:31" ht="54.6" thickBot="1" x14ac:dyDescent="0.35">
      <c r="C26" t="s">
        <v>88</v>
      </c>
      <c r="M26" s="181"/>
      <c r="N26" s="190"/>
      <c r="O26" s="85" t="s">
        <v>104</v>
      </c>
      <c r="P26" s="85">
        <v>10</v>
      </c>
      <c r="Q26" s="190"/>
      <c r="R26" s="190"/>
      <c r="S26" s="190"/>
      <c r="T26" s="187"/>
    </row>
    <row r="27" spans="2:31" ht="20.399999999999999" x14ac:dyDescent="0.3">
      <c r="B27" t="s">
        <v>89</v>
      </c>
      <c r="M27" s="86"/>
    </row>
    <row r="28" spans="2:31" x14ac:dyDescent="0.3">
      <c r="B28" t="s">
        <v>76</v>
      </c>
    </row>
    <row r="29" spans="2:31" x14ac:dyDescent="0.3">
      <c r="B29" t="s">
        <v>77</v>
      </c>
    </row>
    <row r="30" spans="2:31" x14ac:dyDescent="0.3">
      <c r="B30" t="s">
        <v>66</v>
      </c>
    </row>
    <row r="31" spans="2:31" x14ac:dyDescent="0.3">
      <c r="B31" t="s">
        <v>67</v>
      </c>
    </row>
    <row r="32" spans="2:31" x14ac:dyDescent="0.3">
      <c r="B32" t="s">
        <v>68</v>
      </c>
    </row>
  </sheetData>
  <mergeCells count="40">
    <mergeCell ref="M21:M23"/>
    <mergeCell ref="B9:B11"/>
    <mergeCell ref="B12:B14"/>
    <mergeCell ref="B15:B17"/>
    <mergeCell ref="B18:B20"/>
    <mergeCell ref="B21:B23"/>
    <mergeCell ref="O10:P11"/>
    <mergeCell ref="R10:R11"/>
    <mergeCell ref="S10:S11"/>
    <mergeCell ref="M12:M14"/>
    <mergeCell ref="N12:N14"/>
    <mergeCell ref="Q12:Q14"/>
    <mergeCell ref="R12:R14"/>
    <mergeCell ref="S12:S14"/>
    <mergeCell ref="M10:M11"/>
    <mergeCell ref="N15:N17"/>
    <mergeCell ref="Q15:Q17"/>
    <mergeCell ref="R15:R17"/>
    <mergeCell ref="S15:S17"/>
    <mergeCell ref="M18:M20"/>
    <mergeCell ref="N18:N20"/>
    <mergeCell ref="Q18:Q20"/>
    <mergeCell ref="R18:R20"/>
    <mergeCell ref="S18:S20"/>
    <mergeCell ref="M15:M17"/>
    <mergeCell ref="M24:M26"/>
    <mergeCell ref="N24:N26"/>
    <mergeCell ref="Q24:Q26"/>
    <mergeCell ref="R24:R26"/>
    <mergeCell ref="S24:S26"/>
    <mergeCell ref="T24:T26"/>
    <mergeCell ref="N21:N23"/>
    <mergeCell ref="Q21:Q23"/>
    <mergeCell ref="R21:R23"/>
    <mergeCell ref="S21:S23"/>
    <mergeCell ref="T10:T11"/>
    <mergeCell ref="T12:T14"/>
    <mergeCell ref="T15:T17"/>
    <mergeCell ref="T21:T23"/>
    <mergeCell ref="T18:T20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A6ADE-A769-4E87-ABD7-3C4E3E12A090}">
  <dimension ref="B1:U35"/>
  <sheetViews>
    <sheetView topLeftCell="A4" zoomScale="64" workbookViewId="0">
      <selection activeCell="M26" sqref="M26"/>
    </sheetView>
  </sheetViews>
  <sheetFormatPr defaultRowHeight="14.4" x14ac:dyDescent="0.3"/>
  <cols>
    <col min="3" max="3" width="10.77734375" customWidth="1"/>
    <col min="5" max="5" width="9.88671875" customWidth="1"/>
    <col min="6" max="6" width="10.109375" customWidth="1"/>
    <col min="7" max="7" width="12" bestFit="1" customWidth="1"/>
    <col min="8" max="8" width="9.6640625" customWidth="1"/>
    <col min="9" max="9" width="10.33203125" customWidth="1"/>
    <col min="10" max="10" width="13.5546875" customWidth="1"/>
    <col min="12" max="12" width="10.33203125" customWidth="1"/>
    <col min="14" max="14" width="12.6640625" customWidth="1"/>
    <col min="15" max="15" width="11.6640625" customWidth="1"/>
  </cols>
  <sheetData>
    <row r="1" spans="2:17" ht="13.8" customHeight="1" thickBot="1" x14ac:dyDescent="0.35"/>
    <row r="2" spans="2:17" ht="75.599999999999994" customHeight="1" thickBot="1" x14ac:dyDescent="0.35">
      <c r="B2" s="116" t="s">
        <v>55</v>
      </c>
      <c r="C2" s="117" t="s">
        <v>56</v>
      </c>
      <c r="D2" s="117" t="s">
        <v>57</v>
      </c>
      <c r="E2" s="117" t="s">
        <v>58</v>
      </c>
      <c r="F2" s="117" t="s">
        <v>59</v>
      </c>
      <c r="G2" s="117" t="s">
        <v>65</v>
      </c>
      <c r="H2" s="117" t="s">
        <v>60</v>
      </c>
      <c r="I2" s="117" t="s">
        <v>61</v>
      </c>
      <c r="J2" s="117" t="s">
        <v>64</v>
      </c>
      <c r="K2" s="117" t="s">
        <v>62</v>
      </c>
      <c r="L2" s="118" t="s">
        <v>63</v>
      </c>
      <c r="N2" s="125" t="s">
        <v>125</v>
      </c>
      <c r="O2" s="126" t="s">
        <v>87</v>
      </c>
      <c r="P2" s="126" t="s">
        <v>107</v>
      </c>
      <c r="Q2" s="127" t="s">
        <v>85</v>
      </c>
    </row>
    <row r="3" spans="2:17" x14ac:dyDescent="0.3">
      <c r="B3" s="111" t="s">
        <v>69</v>
      </c>
      <c r="C3" s="112" t="s">
        <v>76</v>
      </c>
      <c r="D3" s="113">
        <v>9.0000000000000011E-3</v>
      </c>
      <c r="E3" s="113">
        <v>0.44400000000000001</v>
      </c>
      <c r="F3" s="113">
        <f>D3*E3</f>
        <v>3.9960000000000004E-3</v>
      </c>
      <c r="G3" s="113">
        <f>F3</f>
        <v>3.9960000000000004E-3</v>
      </c>
      <c r="H3" s="114">
        <v>18.7867</v>
      </c>
      <c r="I3" s="113" t="s">
        <v>121</v>
      </c>
      <c r="J3" s="114">
        <v>18.7867</v>
      </c>
      <c r="K3" s="114">
        <v>18.7867</v>
      </c>
      <c r="L3" s="115">
        <f>(121.588*5^(0.229237))/(K3+17.2111)^0.513228</f>
        <v>27.950919758215385</v>
      </c>
      <c r="N3" s="122" t="s">
        <v>76</v>
      </c>
      <c r="O3" s="114">
        <v>18.7867</v>
      </c>
      <c r="P3" s="123">
        <f>(121.588*5^(0.229237))/(O3+17.2111)^0.513228</f>
        <v>27.950919758215385</v>
      </c>
      <c r="Q3" s="124">
        <v>0.44400000000000001</v>
      </c>
    </row>
    <row r="4" spans="2:17" x14ac:dyDescent="0.3">
      <c r="B4" s="96" t="s">
        <v>70</v>
      </c>
      <c r="C4" s="92" t="s">
        <v>66</v>
      </c>
      <c r="D4" s="93">
        <v>4.0000000000000001E-3</v>
      </c>
      <c r="E4" s="93">
        <v>0.39</v>
      </c>
      <c r="F4" s="93">
        <f>D4*E4</f>
        <v>1.5600000000000002E-3</v>
      </c>
      <c r="G4" s="93"/>
      <c r="H4" s="94">
        <v>9.2394999999999996</v>
      </c>
      <c r="I4" s="93" t="s">
        <v>121</v>
      </c>
      <c r="J4" s="93">
        <f>H4</f>
        <v>9.2394999999999996</v>
      </c>
      <c r="K4" s="93"/>
      <c r="L4" s="97"/>
      <c r="N4" s="107" t="s">
        <v>77</v>
      </c>
      <c r="O4" s="94">
        <v>17.2179</v>
      </c>
      <c r="P4" s="95">
        <f>(121.588*5^(0.229237))/(O4+17.2111)^0.513228</f>
        <v>28.597486343958884</v>
      </c>
      <c r="Q4" s="98">
        <v>0.436</v>
      </c>
    </row>
    <row r="5" spans="2:17" x14ac:dyDescent="0.3">
      <c r="B5" s="96"/>
      <c r="C5" s="93">
        <v>11</v>
      </c>
      <c r="D5" s="93" t="s">
        <v>121</v>
      </c>
      <c r="E5" s="93" t="s">
        <v>121</v>
      </c>
      <c r="F5" s="93">
        <f>G3</f>
        <v>3.9960000000000004E-3</v>
      </c>
      <c r="G5" s="93"/>
      <c r="H5" s="93">
        <f>H3</f>
        <v>18.7867</v>
      </c>
      <c r="I5" s="93">
        <f>J22</f>
        <v>85.436721830026002</v>
      </c>
      <c r="J5" s="93">
        <f>H5+I5</f>
        <v>104.223421830026</v>
      </c>
      <c r="K5" s="93"/>
      <c r="L5" s="97"/>
      <c r="N5" s="107" t="s">
        <v>66</v>
      </c>
      <c r="O5" s="94">
        <v>9.2394999999999996</v>
      </c>
      <c r="P5" s="95">
        <f>(121.588*5^(0.229237))/(O5+17.2111)^0.513228</f>
        <v>32.740609543815168</v>
      </c>
      <c r="Q5" s="98">
        <v>0.39</v>
      </c>
    </row>
    <row r="6" spans="2:17" x14ac:dyDescent="0.3">
      <c r="B6" s="96"/>
      <c r="C6" s="93"/>
      <c r="D6" s="93"/>
      <c r="E6" s="93"/>
      <c r="F6" s="93"/>
      <c r="G6" s="93">
        <f>SUM(F3:F5)</f>
        <v>9.5520000000000015E-3</v>
      </c>
      <c r="H6" s="93"/>
      <c r="I6" s="93"/>
      <c r="J6" s="93"/>
      <c r="K6" s="93">
        <f>J5</f>
        <v>104.223421830026</v>
      </c>
      <c r="L6" s="97">
        <f>(121.588*5^(0.229237))/(K6+17.2111)^0.513228</f>
        <v>14.975376157806183</v>
      </c>
      <c r="N6" s="107" t="s">
        <v>67</v>
      </c>
      <c r="O6" s="94">
        <v>14.2249</v>
      </c>
      <c r="P6" s="95">
        <f>(121.588*5^(0.229237))/(O6+17.2111)^0.513228</f>
        <v>29.963938262741763</v>
      </c>
      <c r="Q6" s="98">
        <v>0.45100000000000001</v>
      </c>
    </row>
    <row r="7" spans="2:17" ht="15" thickBot="1" x14ac:dyDescent="0.35">
      <c r="B7" s="96" t="s">
        <v>72</v>
      </c>
      <c r="C7" s="92" t="s">
        <v>77</v>
      </c>
      <c r="D7" s="93">
        <v>8.5000000000000006E-3</v>
      </c>
      <c r="E7" s="93">
        <v>0.436</v>
      </c>
      <c r="F7" s="93">
        <f>D7*E7</f>
        <v>3.7060000000000001E-3</v>
      </c>
      <c r="G7" s="93">
        <f>F7</f>
        <v>3.7060000000000001E-3</v>
      </c>
      <c r="H7" s="93">
        <f>O4</f>
        <v>17.2179</v>
      </c>
      <c r="I7" s="93"/>
      <c r="J7" s="93">
        <f>H7</f>
        <v>17.2179</v>
      </c>
      <c r="K7" s="93">
        <f>J7</f>
        <v>17.2179</v>
      </c>
      <c r="L7" s="97">
        <f>(121.588*5^(0.229237))/(K7+17.2111)^0.513228</f>
        <v>28.597486343958884</v>
      </c>
      <c r="N7" s="108" t="s">
        <v>68</v>
      </c>
      <c r="O7" s="109">
        <v>31.454999999999998</v>
      </c>
      <c r="P7" s="110">
        <f>(121.588*5^(0.229237))/(O7+17.2111)^0.513228</f>
        <v>23.943553042813758</v>
      </c>
      <c r="Q7" s="102">
        <v>0.435</v>
      </c>
    </row>
    <row r="8" spans="2:17" x14ac:dyDescent="0.3">
      <c r="B8" s="96" t="s">
        <v>71</v>
      </c>
      <c r="C8" s="93">
        <v>21</v>
      </c>
      <c r="D8" s="93" t="s">
        <v>121</v>
      </c>
      <c r="E8" s="93" t="s">
        <v>121</v>
      </c>
      <c r="F8" s="93">
        <f>G6</f>
        <v>9.5520000000000015E-3</v>
      </c>
      <c r="G8" s="93"/>
      <c r="H8" s="93">
        <f>H4</f>
        <v>9.2394999999999996</v>
      </c>
      <c r="I8" s="93">
        <f>J23</f>
        <v>26.684194457378815</v>
      </c>
      <c r="J8" s="93">
        <f>SUM(H8:I8)</f>
        <v>35.923694457378815</v>
      </c>
      <c r="K8" s="93"/>
      <c r="L8" s="98"/>
    </row>
    <row r="9" spans="2:17" x14ac:dyDescent="0.3">
      <c r="B9" s="96"/>
      <c r="C9" s="93">
        <v>23</v>
      </c>
      <c r="D9" s="93" t="s">
        <v>121</v>
      </c>
      <c r="E9" s="93" t="s">
        <v>121</v>
      </c>
      <c r="F9" s="93">
        <f>G7</f>
        <v>3.7060000000000001E-3</v>
      </c>
      <c r="G9" s="93"/>
      <c r="H9" s="93">
        <f>H7</f>
        <v>17.2179</v>
      </c>
      <c r="I9" s="93">
        <f>J24</f>
        <v>54.023676165157184</v>
      </c>
      <c r="J9" s="93">
        <f>SUM(H9:I9)</f>
        <v>71.241576165157184</v>
      </c>
      <c r="K9" s="93"/>
      <c r="L9" s="98"/>
    </row>
    <row r="10" spans="2:17" x14ac:dyDescent="0.3">
      <c r="B10" s="96"/>
      <c r="C10" s="93"/>
      <c r="D10" s="93"/>
      <c r="E10" s="93"/>
      <c r="F10" s="93"/>
      <c r="G10" s="93">
        <f>SUM(F8:F9)</f>
        <v>1.3258000000000002E-2</v>
      </c>
      <c r="H10" s="93"/>
      <c r="I10" s="93"/>
      <c r="J10" s="93"/>
      <c r="K10" s="93">
        <f>J9</f>
        <v>71.241576165157184</v>
      </c>
      <c r="L10" s="97">
        <f>(121.588*5^(0.229237))/(K10+17.2111)^0.513228</f>
        <v>17.620325233931059</v>
      </c>
    </row>
    <row r="11" spans="2:17" x14ac:dyDescent="0.3">
      <c r="B11" s="96" t="s">
        <v>74</v>
      </c>
      <c r="C11" s="92" t="s">
        <v>67</v>
      </c>
      <c r="D11" s="93">
        <v>8.3999999999999995E-3</v>
      </c>
      <c r="E11" s="93">
        <v>0.45100000000000001</v>
      </c>
      <c r="F11" s="93">
        <f>D11*E11</f>
        <v>3.7883999999999999E-3</v>
      </c>
      <c r="G11" s="93">
        <f>F11</f>
        <v>3.7883999999999999E-3</v>
      </c>
      <c r="H11" s="93">
        <f>O6</f>
        <v>14.2249</v>
      </c>
      <c r="I11" s="93"/>
      <c r="J11" s="93">
        <f>H11</f>
        <v>14.2249</v>
      </c>
      <c r="K11" s="93">
        <f>J11</f>
        <v>14.2249</v>
      </c>
      <c r="L11" s="97">
        <f>(121.588*5^(0.229237))/(K11+17.2111)^0.513228</f>
        <v>29.963938262741763</v>
      </c>
      <c r="P11" t="s">
        <v>123</v>
      </c>
    </row>
    <row r="12" spans="2:17" x14ac:dyDescent="0.3">
      <c r="B12" s="96" t="s">
        <v>75</v>
      </c>
      <c r="C12" s="92" t="s">
        <v>68</v>
      </c>
      <c r="D12" s="93">
        <v>9.0000000000000011E-3</v>
      </c>
      <c r="E12" s="93">
        <v>0.435</v>
      </c>
      <c r="F12" s="93">
        <f>D12*E12</f>
        <v>3.9150000000000001E-3</v>
      </c>
      <c r="G12" s="93">
        <f>F12</f>
        <v>3.9150000000000001E-3</v>
      </c>
      <c r="H12" s="93">
        <f>O7</f>
        <v>31.454999999999998</v>
      </c>
      <c r="I12" s="93"/>
      <c r="J12" s="93">
        <f>H12</f>
        <v>31.454999999999998</v>
      </c>
      <c r="K12" s="93">
        <f>J12</f>
        <v>31.454999999999998</v>
      </c>
      <c r="L12" s="97">
        <f>(121.588*5^(0.229237))/(K12+17.2111)^0.513228</f>
        <v>23.943553042813758</v>
      </c>
      <c r="P12" t="s">
        <v>124</v>
      </c>
    </row>
    <row r="13" spans="2:17" x14ac:dyDescent="0.3">
      <c r="B13" s="96" t="s">
        <v>73</v>
      </c>
      <c r="C13" s="93">
        <v>31</v>
      </c>
      <c r="D13" s="93" t="s">
        <v>121</v>
      </c>
      <c r="E13" s="93" t="s">
        <v>121</v>
      </c>
      <c r="F13" s="93">
        <f>G10</f>
        <v>1.3258000000000002E-2</v>
      </c>
      <c r="G13" s="93"/>
      <c r="H13" s="93"/>
      <c r="I13" s="93">
        <f>J25</f>
        <v>20.424161158593776</v>
      </c>
      <c r="J13" s="93">
        <f>I13</f>
        <v>20.424161158593776</v>
      </c>
      <c r="K13" s="93"/>
      <c r="L13" s="98"/>
    </row>
    <row r="14" spans="2:17" x14ac:dyDescent="0.3">
      <c r="B14" s="96"/>
      <c r="C14" s="93">
        <v>44</v>
      </c>
      <c r="D14" s="93" t="s">
        <v>121</v>
      </c>
      <c r="E14" s="93" t="s">
        <v>121</v>
      </c>
      <c r="F14" s="93">
        <f>G11</f>
        <v>3.7883999999999999E-3</v>
      </c>
      <c r="G14" s="93"/>
      <c r="H14" s="93"/>
      <c r="I14" s="93">
        <f>J26</f>
        <v>50.438561046175309</v>
      </c>
      <c r="J14" s="93">
        <f>I14</f>
        <v>50.438561046175309</v>
      </c>
      <c r="K14" s="93"/>
      <c r="L14" s="98"/>
    </row>
    <row r="15" spans="2:17" x14ac:dyDescent="0.3">
      <c r="B15" s="96"/>
      <c r="C15" s="93">
        <v>54</v>
      </c>
      <c r="D15" s="93" t="s">
        <v>121</v>
      </c>
      <c r="E15" s="93" t="s">
        <v>121</v>
      </c>
      <c r="F15" s="93">
        <f>G12</f>
        <v>3.9150000000000001E-3</v>
      </c>
      <c r="G15" s="93"/>
      <c r="H15" s="93"/>
      <c r="I15" s="93">
        <f>J27</f>
        <v>71.259674793955526</v>
      </c>
      <c r="J15" s="93">
        <f>I15</f>
        <v>71.259674793955526</v>
      </c>
      <c r="K15" s="93"/>
      <c r="L15" s="98"/>
    </row>
    <row r="16" spans="2:17" x14ac:dyDescent="0.3">
      <c r="B16" s="99"/>
      <c r="C16" s="93"/>
      <c r="D16" s="93"/>
      <c r="E16" s="93"/>
      <c r="F16" s="93"/>
      <c r="G16" s="93">
        <f>SUM(F13:F15)</f>
        <v>2.0961400000000005E-2</v>
      </c>
      <c r="H16" s="93"/>
      <c r="I16" s="93"/>
      <c r="J16" s="93"/>
      <c r="K16" s="93">
        <f>J15</f>
        <v>71.259674793955526</v>
      </c>
      <c r="L16" s="97">
        <f>(121.588*5^(0.229237))/(K16+17.2111)^0.513228</f>
        <v>17.618475148728557</v>
      </c>
    </row>
    <row r="17" spans="2:21" ht="15" thickBot="1" x14ac:dyDescent="0.35">
      <c r="B17" s="100"/>
      <c r="C17" s="101"/>
      <c r="D17" s="101"/>
      <c r="E17" s="101"/>
      <c r="F17" s="101"/>
      <c r="G17" s="101"/>
      <c r="H17" s="101"/>
      <c r="I17" s="101"/>
      <c r="J17" s="101"/>
      <c r="K17" s="101"/>
      <c r="L17" s="102"/>
      <c r="T17" t="s">
        <v>54</v>
      </c>
      <c r="U17" s="91"/>
    </row>
    <row r="18" spans="2:21" x14ac:dyDescent="0.3">
      <c r="U18" s="91"/>
    </row>
    <row r="19" spans="2:21" x14ac:dyDescent="0.3">
      <c r="U19" s="91"/>
    </row>
    <row r="20" spans="2:21" ht="15" thickBot="1" x14ac:dyDescent="0.35"/>
    <row r="21" spans="2:21" ht="72.599999999999994" thickBot="1" x14ac:dyDescent="0.35">
      <c r="B21" s="121" t="s">
        <v>110</v>
      </c>
      <c r="C21" s="117" t="s">
        <v>111</v>
      </c>
      <c r="D21" s="117" t="s">
        <v>112</v>
      </c>
      <c r="E21" s="117" t="s">
        <v>113</v>
      </c>
      <c r="F21" s="117" t="s">
        <v>114</v>
      </c>
      <c r="G21" s="117" t="s">
        <v>126</v>
      </c>
      <c r="H21" s="117" t="s">
        <v>127</v>
      </c>
      <c r="I21" s="117" t="s">
        <v>115</v>
      </c>
      <c r="J21" s="117" t="s">
        <v>116</v>
      </c>
      <c r="K21" s="117" t="s">
        <v>122</v>
      </c>
      <c r="L21" s="117" t="s">
        <v>117</v>
      </c>
      <c r="M21" s="117" t="s">
        <v>118</v>
      </c>
      <c r="N21" s="117" t="s">
        <v>119</v>
      </c>
      <c r="O21" s="118" t="s">
        <v>120</v>
      </c>
    </row>
    <row r="22" spans="2:21" x14ac:dyDescent="0.3">
      <c r="B22" s="119">
        <v>11</v>
      </c>
      <c r="C22" s="113">
        <v>137.1</v>
      </c>
      <c r="D22" s="113">
        <v>1000</v>
      </c>
      <c r="E22" s="113">
        <v>2E-3</v>
      </c>
      <c r="F22" s="113">
        <f>G3*L3*1000/3600</f>
        <v>3.1025520931619078E-2</v>
      </c>
      <c r="G22" s="113">
        <f t="shared" ref="G22:G27" si="0">(3.208*0.013*F22/SQRT(E22))^(3/8)</f>
        <v>0.26486109708444722</v>
      </c>
      <c r="H22" s="113">
        <v>0.45</v>
      </c>
      <c r="I22" s="113">
        <f t="shared" ref="I22:I27" si="1">F22/(PI()*0.25*H22^2)</f>
        <v>0.19507614886985647</v>
      </c>
      <c r="J22" s="113">
        <f t="shared" ref="J22:J27" si="2">(D22/I22)/60</f>
        <v>85.436721830026002</v>
      </c>
      <c r="K22" s="113">
        <f t="shared" ref="K22:K27" si="3">E22*D22</f>
        <v>2</v>
      </c>
      <c r="L22" s="113">
        <f>C22-1.5</f>
        <v>135.6</v>
      </c>
      <c r="M22" s="113">
        <f t="shared" ref="M22:M27" si="4">L22-H22</f>
        <v>135.15</v>
      </c>
      <c r="N22" s="113">
        <f t="shared" ref="N22:N27" si="5">L22-K22</f>
        <v>133.6</v>
      </c>
      <c r="O22" s="120">
        <f t="shared" ref="O22:O27" si="6">N22-H22</f>
        <v>133.15</v>
      </c>
    </row>
    <row r="23" spans="2:21" x14ac:dyDescent="0.3">
      <c r="B23" s="99">
        <v>21</v>
      </c>
      <c r="C23" s="93">
        <v>136.5</v>
      </c>
      <c r="D23" s="93">
        <v>400</v>
      </c>
      <c r="E23" s="93">
        <v>3.5000000000000001E-3</v>
      </c>
      <c r="F23" s="93">
        <f>G6*L6*1000/3600</f>
        <v>3.9734664738712414E-2</v>
      </c>
      <c r="G23" s="93">
        <f t="shared" si="0"/>
        <v>0.2616630901969807</v>
      </c>
      <c r="H23" s="93">
        <v>0.45</v>
      </c>
      <c r="I23" s="93">
        <f t="shared" si="1"/>
        <v>0.24983578489937042</v>
      </c>
      <c r="J23" s="93">
        <f t="shared" si="2"/>
        <v>26.684194457378815</v>
      </c>
      <c r="K23" s="93">
        <f t="shared" si="3"/>
        <v>1.4000000000000001</v>
      </c>
      <c r="L23" s="93">
        <f>C23-2.9</f>
        <v>133.6</v>
      </c>
      <c r="M23" s="103">
        <f t="shared" si="4"/>
        <v>133.15</v>
      </c>
      <c r="N23" s="93">
        <f t="shared" si="5"/>
        <v>132.19999999999999</v>
      </c>
      <c r="O23" s="106">
        <f t="shared" si="6"/>
        <v>131.75</v>
      </c>
    </row>
    <row r="24" spans="2:21" x14ac:dyDescent="0.3">
      <c r="B24" s="99">
        <v>23</v>
      </c>
      <c r="C24" s="93">
        <v>131.6</v>
      </c>
      <c r="D24" s="93">
        <v>600</v>
      </c>
      <c r="E24" s="93">
        <v>4.0000000000000001E-3</v>
      </c>
      <c r="F24" s="93">
        <f>G7*L7*1000/3600</f>
        <v>2.9439523441864342E-2</v>
      </c>
      <c r="G24" s="93">
        <f t="shared" si="0"/>
        <v>0.22804966279332822</v>
      </c>
      <c r="H24" s="93">
        <v>0.45</v>
      </c>
      <c r="I24" s="93">
        <f t="shared" si="1"/>
        <v>0.18510402678686175</v>
      </c>
      <c r="J24" s="93">
        <f t="shared" si="2"/>
        <v>54.023676165157184</v>
      </c>
      <c r="K24" s="93">
        <f t="shared" si="3"/>
        <v>2.4</v>
      </c>
      <c r="L24" s="93">
        <f>C24-1</f>
        <v>130.6</v>
      </c>
      <c r="M24" s="93">
        <f t="shared" si="4"/>
        <v>130.15</v>
      </c>
      <c r="N24" s="93">
        <f t="shared" si="5"/>
        <v>128.19999999999999</v>
      </c>
      <c r="O24" s="98">
        <f t="shared" si="6"/>
        <v>127.74999999999999</v>
      </c>
    </row>
    <row r="25" spans="2:21" x14ac:dyDescent="0.3">
      <c r="B25" s="99">
        <v>31</v>
      </c>
      <c r="C25" s="93">
        <v>133.19999999999999</v>
      </c>
      <c r="D25" s="93">
        <v>500</v>
      </c>
      <c r="E25" s="93">
        <v>1E-3</v>
      </c>
      <c r="F25" s="93">
        <f>G10*L10*1000/3600</f>
        <v>6.4891742208738348E-2</v>
      </c>
      <c r="G25" s="93">
        <f t="shared" si="0"/>
        <v>0.39777517896120573</v>
      </c>
      <c r="H25" s="93">
        <v>0.45</v>
      </c>
      <c r="I25" s="93">
        <f t="shared" si="1"/>
        <v>0.40801349287370642</v>
      </c>
      <c r="J25" s="93">
        <f t="shared" si="2"/>
        <v>20.424161158593776</v>
      </c>
      <c r="K25" s="93">
        <f t="shared" si="3"/>
        <v>0.5</v>
      </c>
      <c r="L25" s="93">
        <f>C25-1</f>
        <v>132.19999999999999</v>
      </c>
      <c r="M25" s="104">
        <f t="shared" si="4"/>
        <v>131.75</v>
      </c>
      <c r="N25" s="93">
        <f t="shared" si="5"/>
        <v>131.69999999999999</v>
      </c>
      <c r="O25" s="98">
        <f t="shared" si="6"/>
        <v>131.25</v>
      </c>
    </row>
    <row r="26" spans="2:21" x14ac:dyDescent="0.3">
      <c r="B26" s="99">
        <v>44</v>
      </c>
      <c r="C26" s="93">
        <v>129.5</v>
      </c>
      <c r="D26" s="93">
        <v>600</v>
      </c>
      <c r="E26" s="93">
        <v>3.2000000000000002E-3</v>
      </c>
      <c r="F26" s="93">
        <f>G11*L11*1000/3600</f>
        <v>3.1532051031825249E-2</v>
      </c>
      <c r="G26" s="93">
        <f t="shared" si="0"/>
        <v>0.24399622311087743</v>
      </c>
      <c r="H26" s="93">
        <v>0.45</v>
      </c>
      <c r="I26" s="93">
        <f t="shared" si="1"/>
        <v>0.19826100889050416</v>
      </c>
      <c r="J26" s="93">
        <f t="shared" si="2"/>
        <v>50.438561046175309</v>
      </c>
      <c r="K26" s="93">
        <f t="shared" si="3"/>
        <v>1.9200000000000002</v>
      </c>
      <c r="L26" s="93">
        <f>C26-1</f>
        <v>128.5</v>
      </c>
      <c r="M26" s="105">
        <f t="shared" si="4"/>
        <v>128.05000000000001</v>
      </c>
      <c r="N26" s="93">
        <f t="shared" si="5"/>
        <v>126.58</v>
      </c>
      <c r="O26" s="98">
        <f t="shared" si="6"/>
        <v>126.13</v>
      </c>
    </row>
    <row r="27" spans="2:21" x14ac:dyDescent="0.3">
      <c r="B27" s="99">
        <v>54</v>
      </c>
      <c r="C27" s="93">
        <v>132.6</v>
      </c>
      <c r="D27" s="93">
        <f>700</f>
        <v>700</v>
      </c>
      <c r="E27" s="93">
        <v>4.1999999999999997E-3</v>
      </c>
      <c r="F27" s="93">
        <f>G12*L12*1000/3600</f>
        <v>2.6038613934059963E-2</v>
      </c>
      <c r="G27" s="93">
        <f t="shared" si="0"/>
        <v>0.21580628988110309</v>
      </c>
      <c r="H27" s="93">
        <v>0.45</v>
      </c>
      <c r="I27" s="93">
        <f t="shared" si="1"/>
        <v>0.16372045901697369</v>
      </c>
      <c r="J27" s="93">
        <f t="shared" si="2"/>
        <v>71.259674793955526</v>
      </c>
      <c r="K27" s="93">
        <f t="shared" si="3"/>
        <v>2.94</v>
      </c>
      <c r="L27" s="93">
        <f>C27-1</f>
        <v>131.6</v>
      </c>
      <c r="M27" s="105">
        <f t="shared" si="4"/>
        <v>131.15</v>
      </c>
      <c r="N27" s="93">
        <f t="shared" si="5"/>
        <v>128.66</v>
      </c>
      <c r="O27" s="98">
        <f t="shared" si="6"/>
        <v>128.21</v>
      </c>
    </row>
    <row r="28" spans="2:21" x14ac:dyDescent="0.3">
      <c r="B28" s="99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98"/>
    </row>
    <row r="29" spans="2:21" x14ac:dyDescent="0.3">
      <c r="B29" s="99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98"/>
    </row>
    <row r="30" spans="2:21" x14ac:dyDescent="0.3">
      <c r="B30" s="99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98"/>
    </row>
    <row r="31" spans="2:21" x14ac:dyDescent="0.3">
      <c r="B31" s="99"/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98"/>
    </row>
    <row r="32" spans="2:21" x14ac:dyDescent="0.3">
      <c r="B32" s="99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98"/>
    </row>
    <row r="33" spans="2:15" x14ac:dyDescent="0.3">
      <c r="B33" s="99"/>
      <c r="C33" s="93"/>
      <c r="D33" s="93"/>
      <c r="E33" s="93"/>
      <c r="F33" s="93"/>
      <c r="G33" s="93"/>
      <c r="H33" s="93"/>
      <c r="I33" s="93"/>
      <c r="J33" s="93"/>
      <c r="K33" s="93"/>
      <c r="L33" s="93"/>
      <c r="M33" s="93"/>
      <c r="N33" s="93"/>
      <c r="O33" s="98"/>
    </row>
    <row r="34" spans="2:15" x14ac:dyDescent="0.3">
      <c r="B34" s="99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98"/>
    </row>
    <row r="35" spans="2:15" ht="15" thickBot="1" x14ac:dyDescent="0.35">
      <c r="B35" s="100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1"/>
      <c r="O35" s="10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6C156-D9F1-4127-9E9F-4664D42504D9}">
  <dimension ref="BG3:CH38"/>
  <sheetViews>
    <sheetView topLeftCell="BC6" zoomScale="57" zoomScaleNormal="70" workbookViewId="0">
      <selection activeCell="CA17" sqref="CA17"/>
    </sheetView>
  </sheetViews>
  <sheetFormatPr defaultRowHeight="14.4" x14ac:dyDescent="0.3"/>
  <cols>
    <col min="73" max="73" width="10.88671875" customWidth="1"/>
    <col min="74" max="74" width="12.21875" customWidth="1"/>
    <col min="75" max="75" width="12.33203125" customWidth="1"/>
  </cols>
  <sheetData>
    <row r="3" spans="59:86" x14ac:dyDescent="0.3">
      <c r="BG3" s="89"/>
    </row>
    <row r="4" spans="59:86" ht="15" thickBot="1" x14ac:dyDescent="0.35"/>
    <row r="5" spans="59:86" ht="101.4" thickBot="1" x14ac:dyDescent="0.35">
      <c r="BI5" s="116" t="s">
        <v>55</v>
      </c>
      <c r="BJ5" s="117" t="s">
        <v>56</v>
      </c>
      <c r="BK5" s="117" t="s">
        <v>57</v>
      </c>
      <c r="BL5" s="117" t="s">
        <v>58</v>
      </c>
      <c r="BM5" s="117" t="s">
        <v>59</v>
      </c>
      <c r="BN5" s="117" t="s">
        <v>65</v>
      </c>
      <c r="BO5" s="117" t="s">
        <v>60</v>
      </c>
      <c r="BP5" s="117" t="s">
        <v>61</v>
      </c>
      <c r="BQ5" s="117" t="s">
        <v>64</v>
      </c>
      <c r="BR5" s="117" t="s">
        <v>62</v>
      </c>
      <c r="BS5" s="118" t="s">
        <v>63</v>
      </c>
      <c r="BU5" s="121" t="s">
        <v>125</v>
      </c>
      <c r="BV5" s="117" t="s">
        <v>87</v>
      </c>
      <c r="BW5" s="117" t="s">
        <v>107</v>
      </c>
      <c r="BX5" s="118" t="s">
        <v>85</v>
      </c>
    </row>
    <row r="6" spans="59:86" x14ac:dyDescent="0.3">
      <c r="BI6" s="111" t="s">
        <v>69</v>
      </c>
      <c r="BJ6" s="112" t="s">
        <v>76</v>
      </c>
      <c r="BK6" s="113">
        <v>9.0000000000000011E-3</v>
      </c>
      <c r="BL6" s="113">
        <v>0.44400000000000001</v>
      </c>
      <c r="BM6" s="113">
        <f>BK6*BL6</f>
        <v>3.9960000000000004E-3</v>
      </c>
      <c r="BN6" s="113">
        <f>BM6</f>
        <v>3.9960000000000004E-3</v>
      </c>
      <c r="BO6" s="114">
        <v>18.7867</v>
      </c>
      <c r="BP6" s="113" t="s">
        <v>121</v>
      </c>
      <c r="BQ6" s="114">
        <v>18.7867</v>
      </c>
      <c r="BR6" s="114">
        <v>18.7867</v>
      </c>
      <c r="BS6" s="115">
        <f>(121.588*5^(0.229237))/(BR6+17.2111)^0.513228</f>
        <v>27.950919758215385</v>
      </c>
      <c r="BU6" s="122" t="s">
        <v>76</v>
      </c>
      <c r="BV6" s="114">
        <v>18.7867</v>
      </c>
      <c r="BW6" s="123">
        <f>(121.588*5^(0.229237))/(BV6+17.2111)^0.513228</f>
        <v>27.950919758215385</v>
      </c>
      <c r="BX6" s="124">
        <v>0.44400000000000001</v>
      </c>
    </row>
    <row r="7" spans="59:86" x14ac:dyDescent="0.3">
      <c r="BI7" s="96" t="s">
        <v>70</v>
      </c>
      <c r="BJ7" s="92" t="s">
        <v>66</v>
      </c>
      <c r="BK7" s="93">
        <v>4.0000000000000001E-3</v>
      </c>
      <c r="BL7" s="93">
        <v>0.39</v>
      </c>
      <c r="BM7" s="93">
        <f>BK7*BL7</f>
        <v>1.5600000000000002E-3</v>
      </c>
      <c r="BN7" s="93"/>
      <c r="BO7" s="94">
        <v>9.2394999999999996</v>
      </c>
      <c r="BP7" s="93" t="s">
        <v>121</v>
      </c>
      <c r="BQ7" s="93">
        <f>BO7</f>
        <v>9.2394999999999996</v>
      </c>
      <c r="BR7" s="93"/>
      <c r="BS7" s="97"/>
      <c r="BU7" s="107" t="s">
        <v>77</v>
      </c>
      <c r="BV7" s="94">
        <v>17.2179</v>
      </c>
      <c r="BW7" s="95">
        <f>(121.588*5^(0.229237))/(BV7+17.2111)^0.513228</f>
        <v>28.597486343958884</v>
      </c>
      <c r="BX7" s="98">
        <v>0.436</v>
      </c>
    </row>
    <row r="8" spans="59:86" x14ac:dyDescent="0.3">
      <c r="BI8" s="96"/>
      <c r="BJ8" s="93">
        <v>11</v>
      </c>
      <c r="BK8" s="93" t="s">
        <v>121</v>
      </c>
      <c r="BL8" s="93" t="s">
        <v>121</v>
      </c>
      <c r="BM8" s="93">
        <f>BN6</f>
        <v>3.9960000000000004E-3</v>
      </c>
      <c r="BN8" s="93"/>
      <c r="BO8" s="93">
        <f>BO6</f>
        <v>18.7867</v>
      </c>
      <c r="BP8" s="93">
        <f>BR25</f>
        <v>42.160366806392148</v>
      </c>
      <c r="BQ8" s="93">
        <f>BO8+BP8</f>
        <v>60.947066806392144</v>
      </c>
      <c r="BR8" s="93"/>
      <c r="BS8" s="97"/>
      <c r="BU8" s="107" t="s">
        <v>66</v>
      </c>
      <c r="BV8" s="94">
        <v>9.2394999999999996</v>
      </c>
      <c r="BW8" s="95">
        <f>(121.588*5^(0.229237))/(BV8+17.2111)^0.513228</f>
        <v>32.740609543815168</v>
      </c>
      <c r="BX8" s="98">
        <v>0.39</v>
      </c>
    </row>
    <row r="9" spans="59:86" x14ac:dyDescent="0.3">
      <c r="BI9" s="96"/>
      <c r="BJ9" s="93"/>
      <c r="BK9" s="93"/>
      <c r="BL9" s="93"/>
      <c r="BM9" s="93"/>
      <c r="BN9" s="93">
        <f>SUM(BM6:BM8)</f>
        <v>9.5520000000000015E-3</v>
      </c>
      <c r="BO9" s="93"/>
      <c r="BP9" s="93"/>
      <c r="BQ9" s="93"/>
      <c r="BR9" s="93">
        <f>BQ8</f>
        <v>60.947066806392144</v>
      </c>
      <c r="BS9" s="97">
        <f>(121.588*5^(0.229237))/(BR9+17.2111)^0.513228</f>
        <v>18.775566719193041</v>
      </c>
      <c r="BU9" s="107" t="s">
        <v>67</v>
      </c>
      <c r="BV9" s="94">
        <v>14.2249</v>
      </c>
      <c r="BW9" s="95">
        <f>(121.588*5^(0.229237))/(BV9+17.2111)^0.513228</f>
        <v>29.963938262741763</v>
      </c>
      <c r="BX9" s="98">
        <v>0.45100000000000001</v>
      </c>
    </row>
    <row r="10" spans="59:86" ht="15" thickBot="1" x14ac:dyDescent="0.35">
      <c r="BI10" s="96" t="s">
        <v>72</v>
      </c>
      <c r="BJ10" s="92" t="s">
        <v>77</v>
      </c>
      <c r="BK10" s="93">
        <v>8.5000000000000006E-3</v>
      </c>
      <c r="BL10" s="93">
        <v>0.436</v>
      </c>
      <c r="BM10" s="93">
        <f>BK10*BL10</f>
        <v>3.7060000000000001E-3</v>
      </c>
      <c r="BN10" s="93">
        <f>BM10</f>
        <v>3.7060000000000001E-3</v>
      </c>
      <c r="BO10" s="93">
        <f>BV7</f>
        <v>17.2179</v>
      </c>
      <c r="BP10" s="93"/>
      <c r="BQ10" s="93">
        <f>BO10</f>
        <v>17.2179</v>
      </c>
      <c r="BR10" s="93">
        <f>BQ10</f>
        <v>17.2179</v>
      </c>
      <c r="BS10" s="97">
        <f>(121.588*5^(0.229237))/(BR10+17.2111)^0.513228</f>
        <v>28.597486343958884</v>
      </c>
      <c r="BU10" s="108" t="s">
        <v>68</v>
      </c>
      <c r="BV10" s="109">
        <v>31.454999999999998</v>
      </c>
      <c r="BW10" s="110">
        <f>(121.588*5^(0.229237))/(BV10+17.2111)^0.513228</f>
        <v>23.943553042813758</v>
      </c>
      <c r="BX10" s="102">
        <v>0.435</v>
      </c>
    </row>
    <row r="11" spans="59:86" x14ac:dyDescent="0.3">
      <c r="BI11" s="96" t="s">
        <v>71</v>
      </c>
      <c r="BJ11" s="93">
        <v>21</v>
      </c>
      <c r="BK11" s="93" t="s">
        <v>121</v>
      </c>
      <c r="BL11" s="93" t="s">
        <v>121</v>
      </c>
      <c r="BM11" s="93">
        <f>BN9</f>
        <v>9.5520000000000015E-3</v>
      </c>
      <c r="BN11" s="93"/>
      <c r="BO11" s="93">
        <f>BO7</f>
        <v>9.2394999999999996</v>
      </c>
      <c r="BP11" s="93">
        <f>BR26</f>
        <v>14.981245664210292</v>
      </c>
      <c r="BQ11" s="93">
        <f>SUM(BO11:BP11)</f>
        <v>24.220745664210291</v>
      </c>
      <c r="BR11" s="93"/>
      <c r="BS11" s="98"/>
    </row>
    <row r="12" spans="59:86" ht="15" thickBot="1" x14ac:dyDescent="0.35">
      <c r="BI12" s="96"/>
      <c r="BJ12" s="93">
        <v>23</v>
      </c>
      <c r="BK12" s="93" t="s">
        <v>121</v>
      </c>
      <c r="BL12" s="93" t="s">
        <v>121</v>
      </c>
      <c r="BM12" s="93">
        <f>BN10</f>
        <v>3.7060000000000001E-3</v>
      </c>
      <c r="BN12" s="93"/>
      <c r="BO12" s="93">
        <f>BO10</f>
        <v>17.2179</v>
      </c>
      <c r="BP12" s="93">
        <f>BR27</f>
        <v>25.630242056887642</v>
      </c>
      <c r="BQ12" s="93">
        <f>SUM(BO12:BP12)</f>
        <v>42.848142056887639</v>
      </c>
      <c r="BR12" s="93"/>
      <c r="BS12" s="98"/>
    </row>
    <row r="13" spans="59:86" x14ac:dyDescent="0.3">
      <c r="BI13" s="96"/>
      <c r="BJ13" s="93"/>
      <c r="BK13" s="93"/>
      <c r="BL13" s="93"/>
      <c r="BM13" s="93"/>
      <c r="BN13" s="93">
        <f>SUM(BM11:BM12)</f>
        <v>1.3258000000000002E-2</v>
      </c>
      <c r="BO13" s="93"/>
      <c r="BP13" s="93"/>
      <c r="BQ13" s="93"/>
      <c r="BR13" s="93">
        <f>BQ12</f>
        <v>42.848142056887639</v>
      </c>
      <c r="BS13" s="97">
        <f>(121.588*5^(0.229237))/(BR13+17.2111)^0.513228</f>
        <v>21.49332095264171</v>
      </c>
      <c r="BY13" s="52"/>
      <c r="BZ13" s="28"/>
      <c r="CA13" s="28"/>
      <c r="CB13" s="28"/>
      <c r="CC13" s="28"/>
      <c r="CD13" s="28"/>
      <c r="CE13" s="28"/>
      <c r="CF13" s="28"/>
      <c r="CG13" s="28"/>
      <c r="CH13" s="71"/>
    </row>
    <row r="14" spans="59:86" x14ac:dyDescent="0.3">
      <c r="BI14" s="96" t="s">
        <v>74</v>
      </c>
      <c r="BJ14" s="92" t="s">
        <v>67</v>
      </c>
      <c r="BK14" s="93">
        <v>8.3999999999999995E-3</v>
      </c>
      <c r="BL14" s="93">
        <v>0.45100000000000001</v>
      </c>
      <c r="BM14" s="93">
        <f>BK14*BL14</f>
        <v>3.7883999999999999E-3</v>
      </c>
      <c r="BN14" s="93">
        <f>BM14</f>
        <v>3.7883999999999999E-3</v>
      </c>
      <c r="BO14" s="93">
        <f>BV9</f>
        <v>14.2249</v>
      </c>
      <c r="BP14" s="93"/>
      <c r="BQ14" s="93">
        <f>BO14</f>
        <v>14.2249</v>
      </c>
      <c r="BR14" s="93">
        <f>BQ14</f>
        <v>14.2249</v>
      </c>
      <c r="BS14" s="97">
        <f>(121.588*5^(0.229237))/(BR14+17.2111)^0.513228</f>
        <v>29.963938262741763</v>
      </c>
      <c r="BW14" s="143" t="s">
        <v>123</v>
      </c>
      <c r="BX14" s="143"/>
      <c r="BY14" s="11"/>
      <c r="BZ14" s="166" t="s">
        <v>132</v>
      </c>
      <c r="CA14" s="166"/>
      <c r="CB14" s="166"/>
      <c r="CC14" s="166"/>
      <c r="CH14" s="12"/>
    </row>
    <row r="15" spans="59:86" ht="15" thickBot="1" x14ac:dyDescent="0.35">
      <c r="BI15" s="96" t="s">
        <v>75</v>
      </c>
      <c r="BJ15" s="92" t="s">
        <v>68</v>
      </c>
      <c r="BK15" s="93">
        <v>9.0000000000000011E-3</v>
      </c>
      <c r="BL15" s="93">
        <v>0.435</v>
      </c>
      <c r="BM15" s="93">
        <f>BK15*BL15</f>
        <v>3.9150000000000001E-3</v>
      </c>
      <c r="BN15" s="93">
        <f>BM15</f>
        <v>3.9150000000000001E-3</v>
      </c>
      <c r="BO15" s="93">
        <f>BV10</f>
        <v>31.454999999999998</v>
      </c>
      <c r="BP15" s="93"/>
      <c r="BQ15" s="93">
        <f>BO15</f>
        <v>31.454999999999998</v>
      </c>
      <c r="BR15" s="93">
        <f>BQ15</f>
        <v>31.454999999999998</v>
      </c>
      <c r="BS15" s="97">
        <f>(121.588*5^(0.229237))/(BR15+17.2111)^0.513228</f>
        <v>23.943553042813758</v>
      </c>
      <c r="BW15" s="143" t="s">
        <v>124</v>
      </c>
      <c r="BX15" s="143"/>
      <c r="BY15" s="11"/>
      <c r="CH15" s="12"/>
    </row>
    <row r="16" spans="59:86" x14ac:dyDescent="0.3">
      <c r="BI16" s="96" t="s">
        <v>73</v>
      </c>
      <c r="BJ16" s="93">
        <v>31</v>
      </c>
      <c r="BK16" s="93" t="s">
        <v>121</v>
      </c>
      <c r="BL16" s="93" t="s">
        <v>121</v>
      </c>
      <c r="BM16" s="93">
        <f>BN13</f>
        <v>1.3258000000000002E-2</v>
      </c>
      <c r="BN16" s="93"/>
      <c r="BO16" s="93"/>
      <c r="BP16" s="93">
        <f>BR28</f>
        <v>16.679552556563177</v>
      </c>
      <c r="BQ16" s="93">
        <f>BP16</f>
        <v>16.679552556563177</v>
      </c>
      <c r="BR16" s="93"/>
      <c r="BS16" s="98"/>
      <c r="BY16" s="11"/>
      <c r="BZ16" s="129" t="s">
        <v>134</v>
      </c>
      <c r="CA16" s="130" t="s">
        <v>133</v>
      </c>
      <c r="CH16" s="12"/>
    </row>
    <row r="17" spans="61:86" x14ac:dyDescent="0.3">
      <c r="BI17" s="96"/>
      <c r="BJ17" s="93">
        <v>44</v>
      </c>
      <c r="BK17" s="93" t="s">
        <v>121</v>
      </c>
      <c r="BL17" s="93" t="s">
        <v>121</v>
      </c>
      <c r="BM17" s="93">
        <f>BN14</f>
        <v>3.7883999999999999E-3</v>
      </c>
      <c r="BN17" s="93"/>
      <c r="BO17" s="93"/>
      <c r="BP17" s="93">
        <f>BR29</f>
        <v>25.194012845205172</v>
      </c>
      <c r="BQ17" s="93">
        <f>BP17</f>
        <v>25.194012845205172</v>
      </c>
      <c r="BR17" s="93"/>
      <c r="BS17" s="98"/>
      <c r="BY17" s="11"/>
      <c r="BZ17" s="99">
        <f t="shared" ref="BZ17:BZ22" si="0">BI25</f>
        <v>11</v>
      </c>
      <c r="CA17" s="98"/>
      <c r="CH17" s="12"/>
    </row>
    <row r="18" spans="61:86" x14ac:dyDescent="0.3">
      <c r="BI18" s="96"/>
      <c r="BJ18" s="93">
        <v>54</v>
      </c>
      <c r="BK18" s="93" t="s">
        <v>121</v>
      </c>
      <c r="BL18" s="93" t="s">
        <v>121</v>
      </c>
      <c r="BM18" s="93">
        <f>BN15</f>
        <v>3.9150000000000001E-3</v>
      </c>
      <c r="BN18" s="93"/>
      <c r="BO18" s="93"/>
      <c r="BP18" s="93">
        <f>BR30</f>
        <v>30.833847892465315</v>
      </c>
      <c r="BQ18" s="93">
        <f>BP18</f>
        <v>30.833847892465315</v>
      </c>
      <c r="BR18" s="93"/>
      <c r="BS18" s="98"/>
      <c r="BY18" s="11"/>
      <c r="BZ18" s="99">
        <f t="shared" si="0"/>
        <v>21</v>
      </c>
      <c r="CA18" s="98">
        <f t="shared" ref="CA18:CA22" si="1">0.817*(BM26^0.42)*(0.0015^0.3*(0.013*0.035)^-0.6)</f>
        <v>3.3353717085002721</v>
      </c>
      <c r="CH18" s="12"/>
    </row>
    <row r="19" spans="61:86" x14ac:dyDescent="0.3">
      <c r="BI19" s="99"/>
      <c r="BJ19" s="93"/>
      <c r="BK19" s="93"/>
      <c r="BL19" s="93"/>
      <c r="BM19" s="93"/>
      <c r="BN19" s="93">
        <f>SUM(BM16:BM18)</f>
        <v>2.0961400000000005E-2</v>
      </c>
      <c r="BO19" s="93"/>
      <c r="BP19" s="93"/>
      <c r="BQ19" s="93"/>
      <c r="BR19" s="93">
        <f>BQ18</f>
        <v>30.833847892465315</v>
      </c>
      <c r="BS19" s="97">
        <f>(121.588*5^(0.229237))/(BR19+17.2111)^0.513228</f>
        <v>24.101928969755864</v>
      </c>
      <c r="BY19" s="11"/>
      <c r="BZ19" s="99">
        <f t="shared" si="0"/>
        <v>23</v>
      </c>
      <c r="CA19" s="98">
        <f t="shared" si="1"/>
        <v>2.6741977678349493</v>
      </c>
      <c r="CH19" s="12"/>
    </row>
    <row r="20" spans="61:86" ht="15" thickBot="1" x14ac:dyDescent="0.35">
      <c r="BI20" s="100"/>
      <c r="BJ20" s="101"/>
      <c r="BK20" s="101"/>
      <c r="BL20" s="101"/>
      <c r="BM20" s="101"/>
      <c r="BN20" s="101"/>
      <c r="BO20" s="101"/>
      <c r="BP20" s="101"/>
      <c r="BQ20" s="101"/>
      <c r="BR20" s="101"/>
      <c r="BS20" s="102"/>
      <c r="BY20" s="11"/>
      <c r="BZ20" s="99">
        <f t="shared" si="0"/>
        <v>31</v>
      </c>
      <c r="CA20" s="98">
        <f t="shared" si="1"/>
        <v>4.0513875777616111</v>
      </c>
      <c r="CH20" s="12"/>
    </row>
    <row r="21" spans="61:86" x14ac:dyDescent="0.3">
      <c r="BY21" s="11"/>
      <c r="BZ21" s="99">
        <f t="shared" si="0"/>
        <v>44</v>
      </c>
      <c r="CA21" s="98">
        <f t="shared" si="1"/>
        <v>2.7524442357757395</v>
      </c>
      <c r="CH21" s="12"/>
    </row>
    <row r="22" spans="61:86" ht="15" thickBot="1" x14ac:dyDescent="0.35">
      <c r="BY22" s="11"/>
      <c r="BZ22" s="100">
        <f t="shared" si="0"/>
        <v>54</v>
      </c>
      <c r="CA22" s="102">
        <f t="shared" si="1"/>
        <v>2.5398150861115592</v>
      </c>
      <c r="CH22" s="12"/>
    </row>
    <row r="23" spans="61:86" ht="15" thickBot="1" x14ac:dyDescent="0.35">
      <c r="BY23" s="13"/>
      <c r="BZ23" s="14"/>
      <c r="CA23" s="14"/>
      <c r="CB23" s="14"/>
      <c r="CC23" s="14"/>
      <c r="CD23" s="14"/>
      <c r="CE23" s="14"/>
      <c r="CF23" s="14"/>
      <c r="CG23" s="14"/>
      <c r="CH23" s="15"/>
    </row>
    <row r="24" spans="61:86" ht="87" thickBot="1" x14ac:dyDescent="0.35">
      <c r="BI24" s="121" t="s">
        <v>139</v>
      </c>
      <c r="BJ24" s="117" t="s">
        <v>111</v>
      </c>
      <c r="BK24" s="117" t="s">
        <v>112</v>
      </c>
      <c r="BL24" s="117" t="s">
        <v>113</v>
      </c>
      <c r="BM24" s="117" t="s">
        <v>114</v>
      </c>
      <c r="BN24" s="117" t="s">
        <v>129</v>
      </c>
      <c r="BO24" s="117" t="s">
        <v>128</v>
      </c>
      <c r="BP24" s="117" t="s">
        <v>130</v>
      </c>
      <c r="BQ24" s="117" t="s">
        <v>115</v>
      </c>
      <c r="BR24" s="117" t="s">
        <v>131</v>
      </c>
      <c r="BS24" s="117" t="s">
        <v>122</v>
      </c>
      <c r="BT24" s="117" t="s">
        <v>140</v>
      </c>
      <c r="BU24" s="117" t="s">
        <v>141</v>
      </c>
      <c r="BV24" s="117" t="s">
        <v>142</v>
      </c>
      <c r="BW24" s="117" t="s">
        <v>143</v>
      </c>
    </row>
    <row r="25" spans="61:86" x14ac:dyDescent="0.3">
      <c r="BI25" s="119">
        <v>11</v>
      </c>
      <c r="BJ25" s="113">
        <v>137.1</v>
      </c>
      <c r="BK25" s="113">
        <v>1000</v>
      </c>
      <c r="BL25" s="113">
        <v>2E-3</v>
      </c>
      <c r="BM25" s="113">
        <f>BN6*BS6*1000/3600</f>
        <v>3.1025520931619078E-2</v>
      </c>
      <c r="BN25" s="113">
        <f t="shared" ref="BN25:BN30" si="2">(BM25*0.013/(0.376*(0.035^(5/3))*(0.0015)^0.5))^(3/8)</f>
        <v>2.1177189962003586</v>
      </c>
      <c r="BO25" s="113">
        <f t="shared" ref="BO25:BO30" si="3">BN25*0.035</f>
        <v>7.4120164867012561E-2</v>
      </c>
      <c r="BP25" s="113">
        <v>0.2</v>
      </c>
      <c r="BQ25" s="113">
        <f t="shared" ref="BQ25:BQ30" si="4">BM25/(0.5*0.035*BN25^2)</f>
        <v>0.39531597870585294</v>
      </c>
      <c r="BR25" s="113">
        <f t="shared" ref="BR25:BR30" si="5">(BK25/BQ25)/60</f>
        <v>42.160366806392148</v>
      </c>
      <c r="BS25" s="113">
        <f t="shared" ref="BS25:BS30" si="6">BL25*BK25</f>
        <v>2</v>
      </c>
      <c r="BT25" s="113">
        <f t="shared" ref="BT25:BT30" si="7">BJ25</f>
        <v>137.1</v>
      </c>
      <c r="BU25" s="113">
        <f>BT25-BP25</f>
        <v>136.9</v>
      </c>
      <c r="BV25" s="113">
        <f t="shared" ref="BV25:BV30" si="8">BT25-BS25</f>
        <v>135.1</v>
      </c>
      <c r="BW25" s="142">
        <f t="shared" ref="BW25:BW30" si="9">BU25-BS25</f>
        <v>134.9</v>
      </c>
    </row>
    <row r="26" spans="61:86" x14ac:dyDescent="0.3">
      <c r="BI26" s="99">
        <v>21</v>
      </c>
      <c r="BJ26" s="93">
        <v>136.5</v>
      </c>
      <c r="BK26" s="93">
        <v>400</v>
      </c>
      <c r="BL26" s="93">
        <v>3.5000000000000001E-3</v>
      </c>
      <c r="BM26" s="93">
        <f>BN9*BS9*1000/3600</f>
        <v>4.9817837028258871E-2</v>
      </c>
      <c r="BN26" s="113">
        <f t="shared" si="2"/>
        <v>2.5292572398912543</v>
      </c>
      <c r="BO26" s="113">
        <f t="shared" si="3"/>
        <v>8.8524003396193915E-2</v>
      </c>
      <c r="BP26" s="113">
        <v>0.2</v>
      </c>
      <c r="BQ26" s="113">
        <f t="shared" si="4"/>
        <v>0.44500082410323971</v>
      </c>
      <c r="BR26" s="93">
        <f t="shared" si="5"/>
        <v>14.981245664210292</v>
      </c>
      <c r="BS26" s="93">
        <f t="shared" si="6"/>
        <v>1.4000000000000001</v>
      </c>
      <c r="BT26" s="113">
        <f t="shared" si="7"/>
        <v>136.5</v>
      </c>
      <c r="BU26" s="113">
        <f>BT26-BP26</f>
        <v>136.30000000000001</v>
      </c>
      <c r="BV26" s="93">
        <f t="shared" si="8"/>
        <v>135.1</v>
      </c>
      <c r="BW26" s="142">
        <f t="shared" si="9"/>
        <v>134.9</v>
      </c>
    </row>
    <row r="27" spans="61:86" x14ac:dyDescent="0.3">
      <c r="BI27" s="99">
        <v>23</v>
      </c>
      <c r="BJ27" s="93">
        <v>131.6</v>
      </c>
      <c r="BK27" s="93">
        <v>600</v>
      </c>
      <c r="BL27" s="93">
        <v>4.0000000000000001E-3</v>
      </c>
      <c r="BM27" s="93">
        <f>BN10*BS10*1000/3600</f>
        <v>2.9439523441864342E-2</v>
      </c>
      <c r="BN27" s="113">
        <f t="shared" si="2"/>
        <v>2.0764559255126454</v>
      </c>
      <c r="BO27" s="113">
        <f t="shared" si="3"/>
        <v>7.2675957392942594E-2</v>
      </c>
      <c r="BP27" s="113">
        <v>0.2</v>
      </c>
      <c r="BQ27" s="113">
        <f t="shared" si="4"/>
        <v>0.39016408732326779</v>
      </c>
      <c r="BR27" s="93">
        <f t="shared" si="5"/>
        <v>25.630242056887642</v>
      </c>
      <c r="BS27" s="93">
        <f t="shared" si="6"/>
        <v>2.4</v>
      </c>
      <c r="BT27" s="113">
        <f t="shared" si="7"/>
        <v>131.6</v>
      </c>
      <c r="BU27" s="113">
        <f>BJ27</f>
        <v>131.6</v>
      </c>
      <c r="BV27" s="93">
        <f t="shared" si="8"/>
        <v>129.19999999999999</v>
      </c>
      <c r="BW27" s="142">
        <f t="shared" si="9"/>
        <v>129.19999999999999</v>
      </c>
    </row>
    <row r="28" spans="61:86" x14ac:dyDescent="0.3">
      <c r="BI28" s="99">
        <v>31</v>
      </c>
      <c r="BJ28" s="93">
        <v>133.19999999999999</v>
      </c>
      <c r="BK28" s="93">
        <v>500</v>
      </c>
      <c r="BL28" s="93">
        <v>1E-3</v>
      </c>
      <c r="BM28" s="93">
        <f>BN13*BS13*1000/3600</f>
        <v>7.9155124775034405E-2</v>
      </c>
      <c r="BN28" s="113">
        <f t="shared" si="2"/>
        <v>3.0088692480425294</v>
      </c>
      <c r="BO28" s="113">
        <f t="shared" si="3"/>
        <v>0.10531042368148855</v>
      </c>
      <c r="BP28" s="113">
        <v>0.2</v>
      </c>
      <c r="BQ28" s="113">
        <f t="shared" si="4"/>
        <v>0.49961372195528586</v>
      </c>
      <c r="BR28" s="93">
        <f t="shared" si="5"/>
        <v>16.679552556563177</v>
      </c>
      <c r="BS28" s="93">
        <f t="shared" si="6"/>
        <v>0.5</v>
      </c>
      <c r="BT28" s="113">
        <f t="shared" si="7"/>
        <v>133.19999999999999</v>
      </c>
      <c r="BU28" s="113">
        <f>BW27</f>
        <v>129.19999999999999</v>
      </c>
      <c r="BV28" s="93">
        <f t="shared" si="8"/>
        <v>132.69999999999999</v>
      </c>
      <c r="BW28" s="142">
        <f t="shared" si="9"/>
        <v>128.69999999999999</v>
      </c>
    </row>
    <row r="29" spans="61:86" x14ac:dyDescent="0.3">
      <c r="BI29" s="99">
        <v>44</v>
      </c>
      <c r="BJ29" s="93">
        <v>129.5</v>
      </c>
      <c r="BK29" s="93">
        <v>600</v>
      </c>
      <c r="BL29" s="93">
        <v>3.2000000000000002E-3</v>
      </c>
      <c r="BM29" s="93">
        <f>BN14*BS14*1000/3600</f>
        <v>3.1532051031825249E-2</v>
      </c>
      <c r="BN29" s="113">
        <f t="shared" si="2"/>
        <v>2.1306188218871602</v>
      </c>
      <c r="BO29" s="113">
        <f t="shared" si="3"/>
        <v>7.4571658766050611E-2</v>
      </c>
      <c r="BP29" s="113">
        <v>0.2</v>
      </c>
      <c r="BQ29" s="113">
        <f t="shared" si="4"/>
        <v>0.39691969919365827</v>
      </c>
      <c r="BR29" s="93">
        <f t="shared" si="5"/>
        <v>25.194012845205172</v>
      </c>
      <c r="BS29" s="93">
        <f t="shared" si="6"/>
        <v>1.9200000000000002</v>
      </c>
      <c r="BT29" s="113">
        <f t="shared" si="7"/>
        <v>129.5</v>
      </c>
      <c r="BU29" s="113">
        <f>BW28</f>
        <v>128.69999999999999</v>
      </c>
      <c r="BV29" s="93">
        <f t="shared" si="8"/>
        <v>127.58</v>
      </c>
      <c r="BW29" s="142">
        <f t="shared" si="9"/>
        <v>126.77999999999999</v>
      </c>
    </row>
    <row r="30" spans="61:86" x14ac:dyDescent="0.3">
      <c r="BI30" s="99">
        <v>54</v>
      </c>
      <c r="BJ30" s="93">
        <v>132.6</v>
      </c>
      <c r="BK30" s="93">
        <f>700</f>
        <v>700</v>
      </c>
      <c r="BL30" s="93">
        <v>4.1999999999999997E-3</v>
      </c>
      <c r="BM30" s="93">
        <f>BN15*BS15*1000/3600</f>
        <v>2.6038613934059963E-2</v>
      </c>
      <c r="BN30" s="113">
        <f t="shared" si="2"/>
        <v>1.9830349793122655</v>
      </c>
      <c r="BO30" s="113">
        <f t="shared" si="3"/>
        <v>6.9406224275929296E-2</v>
      </c>
      <c r="BP30" s="113">
        <v>0.2</v>
      </c>
      <c r="BQ30" s="113">
        <f t="shared" si="4"/>
        <v>0.37837206395240669</v>
      </c>
      <c r="BR30" s="93">
        <f t="shared" si="5"/>
        <v>30.833847892465315</v>
      </c>
      <c r="BS30" s="93">
        <f t="shared" si="6"/>
        <v>2.94</v>
      </c>
      <c r="BT30" s="113">
        <f t="shared" si="7"/>
        <v>132.6</v>
      </c>
      <c r="BU30" s="113">
        <f>BW29</f>
        <v>126.77999999999999</v>
      </c>
      <c r="BV30" s="93">
        <f t="shared" si="8"/>
        <v>129.66</v>
      </c>
      <c r="BW30" s="142">
        <f t="shared" si="9"/>
        <v>123.83999999999999</v>
      </c>
    </row>
    <row r="31" spans="61:86" x14ac:dyDescent="0.3">
      <c r="BI31" s="99"/>
      <c r="BJ31" s="93"/>
      <c r="BK31" s="93"/>
      <c r="BL31" s="93"/>
      <c r="BM31" s="93"/>
      <c r="BN31" s="93"/>
      <c r="BO31" s="93"/>
      <c r="BP31" s="93"/>
      <c r="BQ31" s="93"/>
      <c r="BR31" s="93"/>
      <c r="BS31" s="93"/>
      <c r="BT31" s="93"/>
      <c r="BU31" s="93"/>
      <c r="BV31" s="93"/>
      <c r="BW31" s="98"/>
    </row>
    <row r="32" spans="61:86" x14ac:dyDescent="0.3">
      <c r="BI32" s="99"/>
      <c r="BJ32" s="93"/>
      <c r="BK32" s="93"/>
      <c r="BL32" s="93"/>
      <c r="BM32" s="93"/>
      <c r="BN32" s="93"/>
      <c r="BO32" s="93"/>
      <c r="BP32" s="93"/>
      <c r="BQ32" s="93"/>
      <c r="BR32" s="93"/>
      <c r="BS32" s="93"/>
      <c r="BT32" s="93"/>
      <c r="BU32" s="93"/>
      <c r="BV32" s="93"/>
      <c r="BW32" s="98"/>
    </row>
    <row r="33" spans="61:75" x14ac:dyDescent="0.3">
      <c r="BI33" s="99"/>
      <c r="BJ33" s="93"/>
      <c r="BK33" s="93"/>
      <c r="BL33" s="93"/>
      <c r="BM33" s="93"/>
      <c r="BN33" s="93"/>
      <c r="BO33" s="93"/>
      <c r="BP33" s="93"/>
      <c r="BQ33" s="93"/>
      <c r="BR33" s="93"/>
      <c r="BS33" s="93"/>
      <c r="BT33" s="93"/>
      <c r="BU33" s="93"/>
      <c r="BV33" s="93"/>
      <c r="BW33" s="98"/>
    </row>
    <row r="34" spans="61:75" x14ac:dyDescent="0.3">
      <c r="BI34" s="99"/>
      <c r="BJ34" s="93"/>
      <c r="BK34" s="93"/>
      <c r="BL34" s="93"/>
      <c r="BM34" s="93"/>
      <c r="BN34" s="93"/>
      <c r="BO34" s="93"/>
      <c r="BP34" s="93"/>
      <c r="BQ34" s="93"/>
      <c r="BR34" s="93"/>
      <c r="BS34" s="93"/>
      <c r="BT34" s="93"/>
      <c r="BU34" s="93"/>
      <c r="BV34" s="93"/>
      <c r="BW34" s="98"/>
    </row>
    <row r="35" spans="61:75" x14ac:dyDescent="0.3">
      <c r="BI35" s="99"/>
      <c r="BJ35" s="93"/>
      <c r="BK35" s="93"/>
      <c r="BL35" s="93"/>
      <c r="BM35" s="93"/>
      <c r="BN35" s="93"/>
      <c r="BO35" s="93"/>
      <c r="BP35" s="93"/>
      <c r="BQ35" s="93"/>
      <c r="BR35" s="93"/>
      <c r="BS35" s="93"/>
      <c r="BT35" s="93"/>
      <c r="BU35" s="93"/>
      <c r="BV35" s="93"/>
      <c r="BW35" s="98"/>
    </row>
    <row r="36" spans="61:75" x14ac:dyDescent="0.3">
      <c r="BI36" s="99"/>
      <c r="BJ36" s="93"/>
      <c r="BK36" s="93"/>
      <c r="BL36" s="93"/>
      <c r="BM36" s="93"/>
      <c r="BN36" s="93"/>
      <c r="BO36" s="93"/>
      <c r="BP36" s="93"/>
      <c r="BQ36" s="93"/>
      <c r="BR36" s="93"/>
      <c r="BS36" s="93"/>
      <c r="BT36" s="93"/>
      <c r="BU36" s="93"/>
      <c r="BV36" s="93"/>
      <c r="BW36" s="98"/>
    </row>
    <row r="37" spans="61:75" x14ac:dyDescent="0.3">
      <c r="BI37" s="99"/>
      <c r="BJ37" s="93"/>
      <c r="BK37" s="93"/>
      <c r="BL37" s="93"/>
      <c r="BM37" s="93"/>
      <c r="BN37" s="93"/>
      <c r="BO37" s="93"/>
      <c r="BP37" s="93"/>
      <c r="BQ37" s="93"/>
      <c r="BR37" s="93"/>
      <c r="BS37" s="93"/>
      <c r="BT37" s="93"/>
      <c r="BU37" s="93"/>
      <c r="BV37" s="93"/>
      <c r="BW37" s="98"/>
    </row>
    <row r="38" spans="61:75" ht="15" thickBot="1" x14ac:dyDescent="0.35">
      <c r="BI38" s="100"/>
      <c r="BJ38" s="101"/>
      <c r="BK38" s="101"/>
      <c r="BL38" s="101"/>
      <c r="BM38" s="101"/>
      <c r="BN38" s="101"/>
      <c r="BO38" s="101"/>
      <c r="BP38" s="101"/>
      <c r="BQ38" s="101"/>
      <c r="BR38" s="101"/>
      <c r="BS38" s="101"/>
      <c r="BT38" s="101"/>
      <c r="BU38" s="101"/>
      <c r="BV38" s="101"/>
      <c r="BW38" s="102"/>
    </row>
  </sheetData>
  <mergeCells count="1">
    <mergeCell ref="BZ14:CC14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B11C1-B429-4DA8-891F-768F816A1958}">
  <dimension ref="C4:J22"/>
  <sheetViews>
    <sheetView zoomScale="57" workbookViewId="0">
      <selection activeCell="B3" sqref="B3:L24"/>
    </sheetView>
  </sheetViews>
  <sheetFormatPr defaultRowHeight="14.4" x14ac:dyDescent="0.3"/>
  <sheetData>
    <row r="4" spans="3:10" ht="15" thickBot="1" x14ac:dyDescent="0.35"/>
    <row r="5" spans="3:10" x14ac:dyDescent="0.3">
      <c r="C5" s="197" t="s">
        <v>144</v>
      </c>
      <c r="D5" s="198" t="s">
        <v>11</v>
      </c>
      <c r="E5" s="199" t="s">
        <v>145</v>
      </c>
      <c r="F5" s="199" t="s">
        <v>146</v>
      </c>
      <c r="G5" s="199" t="s">
        <v>147</v>
      </c>
      <c r="H5" s="199" t="s">
        <v>148</v>
      </c>
      <c r="I5" s="199"/>
      <c r="J5" s="200" t="s">
        <v>149</v>
      </c>
    </row>
    <row r="6" spans="3:10" ht="15" thickBot="1" x14ac:dyDescent="0.35">
      <c r="C6" s="201"/>
      <c r="D6" s="202"/>
      <c r="E6" s="203"/>
      <c r="F6" s="203"/>
      <c r="G6" s="203"/>
      <c r="H6" s="203"/>
      <c r="I6" s="203"/>
      <c r="J6" s="204"/>
    </row>
    <row r="7" spans="3:10" x14ac:dyDescent="0.3">
      <c r="C7" s="205">
        <f>2/15</f>
        <v>0.13333333333333333</v>
      </c>
      <c r="D7" s="206">
        <f>(121.588*20^(0.229237))/((C7*60)+17.2111)^0.513228</f>
        <v>46.110387734488093</v>
      </c>
      <c r="E7" s="207">
        <f>D7*C7</f>
        <v>6.1480516979317459</v>
      </c>
      <c r="F7" s="207">
        <f>E7</f>
        <v>6.1480516979317459</v>
      </c>
      <c r="G7" s="207">
        <v>6.1480516979317459</v>
      </c>
      <c r="H7" s="208" t="s">
        <v>150</v>
      </c>
      <c r="I7" s="208"/>
      <c r="J7" s="209">
        <f>G21</f>
        <v>1.4473159032211029</v>
      </c>
    </row>
    <row r="8" spans="3:10" x14ac:dyDescent="0.3">
      <c r="C8" s="210">
        <f>4/15</f>
        <v>0.26666666666666666</v>
      </c>
      <c r="D8" s="211">
        <f t="shared" ref="D8:D21" si="0">(121.588*20^(0.229237))/((C8*60)+17.2111)^0.513228</f>
        <v>40.028541185646262</v>
      </c>
      <c r="E8" s="212">
        <f t="shared" ref="E8:E21" si="1">D8*C8</f>
        <v>10.674277649505669</v>
      </c>
      <c r="F8" s="212">
        <f>(E8-E7)</f>
        <v>4.5262259515739229</v>
      </c>
      <c r="G8" s="212">
        <v>4.5262259515739229</v>
      </c>
      <c r="H8" s="213" t="s">
        <v>151</v>
      </c>
      <c r="I8" s="213"/>
      <c r="J8" s="214">
        <f>F19</f>
        <v>1.5709403035498752</v>
      </c>
    </row>
    <row r="9" spans="3:10" x14ac:dyDescent="0.3">
      <c r="C9" s="210">
        <f>C8+0.133333</f>
        <v>0.39999966666666664</v>
      </c>
      <c r="D9" s="211">
        <f t="shared" si="0"/>
        <v>35.831461678785871</v>
      </c>
      <c r="E9" s="212">
        <f t="shared" si="1"/>
        <v>14.332572727693789</v>
      </c>
      <c r="F9" s="212">
        <f t="shared" ref="F9:F21" si="2">(E9-E8)</f>
        <v>3.6582950781881198</v>
      </c>
      <c r="G9" s="212">
        <v>3.6582950781881198</v>
      </c>
      <c r="H9" s="213" t="s">
        <v>152</v>
      </c>
      <c r="I9" s="213"/>
      <c r="J9" s="214">
        <f>G17</f>
        <v>1.7299014634949224</v>
      </c>
    </row>
    <row r="10" spans="3:10" x14ac:dyDescent="0.3">
      <c r="C10" s="210">
        <f t="shared" ref="C10:C20" si="3">C9+0.133333</f>
        <v>0.53333266666666668</v>
      </c>
      <c r="D10" s="211">
        <f t="shared" si="0"/>
        <v>32.71304434602186</v>
      </c>
      <c r="E10" s="212">
        <f t="shared" si="1"/>
        <v>17.446935175848761</v>
      </c>
      <c r="F10" s="212">
        <f t="shared" si="2"/>
        <v>3.1143624481549725</v>
      </c>
      <c r="G10" s="212">
        <v>3.1143624481549725</v>
      </c>
      <c r="H10" s="213" t="s">
        <v>153</v>
      </c>
      <c r="I10" s="213"/>
      <c r="J10" s="214">
        <f>G15</f>
        <v>1.9438785515361623</v>
      </c>
    </row>
    <row r="11" spans="3:10" x14ac:dyDescent="0.3">
      <c r="C11" s="210">
        <f t="shared" si="3"/>
        <v>0.66666566666666671</v>
      </c>
      <c r="D11" s="211">
        <f t="shared" si="0"/>
        <v>30.279385924184982</v>
      </c>
      <c r="E11" s="212">
        <f t="shared" si="1"/>
        <v>20.186227003404067</v>
      </c>
      <c r="F11" s="212">
        <f t="shared" si="2"/>
        <v>2.7392918275553058</v>
      </c>
      <c r="G11" s="212">
        <v>2.7392918275553058</v>
      </c>
      <c r="H11" s="213" t="s">
        <v>154</v>
      </c>
      <c r="I11" s="213"/>
      <c r="J11" s="214">
        <f>F13</f>
        <v>2.2513045825240461</v>
      </c>
    </row>
    <row r="12" spans="3:10" x14ac:dyDescent="0.3">
      <c r="C12" s="210">
        <f t="shared" si="3"/>
        <v>0.79999866666666675</v>
      </c>
      <c r="D12" s="211">
        <f t="shared" si="0"/>
        <v>28.31226360384407</v>
      </c>
      <c r="E12" s="212">
        <f t="shared" si="1"/>
        <v>22.649773133390454</v>
      </c>
      <c r="F12" s="212">
        <f t="shared" si="2"/>
        <v>2.463546129986387</v>
      </c>
      <c r="G12" s="212">
        <v>2.463546129986387</v>
      </c>
      <c r="H12" s="213" t="s">
        <v>155</v>
      </c>
      <c r="I12" s="213"/>
      <c r="J12" s="214">
        <f>F11</f>
        <v>2.7392918275553058</v>
      </c>
    </row>
    <row r="13" spans="3:10" x14ac:dyDescent="0.3">
      <c r="C13" s="210">
        <f t="shared" si="3"/>
        <v>0.93333166666666678</v>
      </c>
      <c r="D13" s="211">
        <f t="shared" si="0"/>
        <v>26.679773766647259</v>
      </c>
      <c r="E13" s="212">
        <f t="shared" si="1"/>
        <v>24.9010777159145</v>
      </c>
      <c r="F13" s="212">
        <f t="shared" si="2"/>
        <v>2.2513045825240461</v>
      </c>
      <c r="G13" s="212">
        <v>2.2513045825240461</v>
      </c>
      <c r="H13" s="213" t="s">
        <v>156</v>
      </c>
      <c r="I13" s="213"/>
      <c r="J13" s="214">
        <f>F9</f>
        <v>3.6582950781881198</v>
      </c>
    </row>
    <row r="14" spans="3:10" x14ac:dyDescent="0.3">
      <c r="C14" s="210">
        <f t="shared" si="3"/>
        <v>1.0666646666666668</v>
      </c>
      <c r="D14" s="211">
        <f t="shared" si="0"/>
        <v>25.296892100574414</v>
      </c>
      <c r="E14" s="212">
        <f t="shared" si="1"/>
        <v>26.983300980161843</v>
      </c>
      <c r="F14" s="212">
        <f t="shared" si="2"/>
        <v>2.0822232642473431</v>
      </c>
      <c r="G14" s="212">
        <v>2.0822232642473431</v>
      </c>
      <c r="H14" s="213" t="s">
        <v>157</v>
      </c>
      <c r="I14" s="213"/>
      <c r="J14" s="214">
        <f>F7</f>
        <v>6.1480516979317459</v>
      </c>
    </row>
    <row r="15" spans="3:10" x14ac:dyDescent="0.3">
      <c r="C15" s="210">
        <f t="shared" si="3"/>
        <v>1.1999976666666667</v>
      </c>
      <c r="D15" s="211">
        <f t="shared" si="0"/>
        <v>24.106029815917424</v>
      </c>
      <c r="E15" s="212">
        <f t="shared" si="1"/>
        <v>28.927179531698005</v>
      </c>
      <c r="F15" s="212">
        <f t="shared" si="2"/>
        <v>1.9438785515361623</v>
      </c>
      <c r="G15" s="212">
        <v>1.9438785515361623</v>
      </c>
      <c r="H15" s="213" t="s">
        <v>158</v>
      </c>
      <c r="I15" s="213"/>
      <c r="J15" s="214">
        <f>F8</f>
        <v>4.5262259515739229</v>
      </c>
    </row>
    <row r="16" spans="3:10" x14ac:dyDescent="0.3">
      <c r="C16" s="210">
        <f t="shared" si="3"/>
        <v>1.3333306666666667</v>
      </c>
      <c r="D16" s="211">
        <f t="shared" si="0"/>
        <v>23.066614667181568</v>
      </c>
      <c r="E16" s="212">
        <f t="shared" si="1"/>
        <v>30.75542471193631</v>
      </c>
      <c r="F16" s="212">
        <f t="shared" si="2"/>
        <v>1.8282451802383051</v>
      </c>
      <c r="G16" s="212">
        <v>1.8282451802383051</v>
      </c>
      <c r="H16" s="213" t="s">
        <v>159</v>
      </c>
      <c r="I16" s="213"/>
      <c r="J16" s="214">
        <f>F10</f>
        <v>3.1143624481549725</v>
      </c>
    </row>
    <row r="17" spans="3:10" x14ac:dyDescent="0.3">
      <c r="C17" s="210">
        <f t="shared" si="3"/>
        <v>1.4666636666666666</v>
      </c>
      <c r="D17" s="211">
        <f t="shared" si="0"/>
        <v>22.149131333744478</v>
      </c>
      <c r="E17" s="212">
        <f t="shared" si="1"/>
        <v>32.485326175431233</v>
      </c>
      <c r="F17" s="212">
        <f t="shared" si="2"/>
        <v>1.7299014634949224</v>
      </c>
      <c r="G17" s="212">
        <v>1.7299014634949224</v>
      </c>
      <c r="H17" s="213" t="s">
        <v>160</v>
      </c>
      <c r="I17" s="213"/>
      <c r="J17" s="214">
        <f>F12</f>
        <v>2.463546129986387</v>
      </c>
    </row>
    <row r="18" spans="3:10" x14ac:dyDescent="0.3">
      <c r="C18" s="210">
        <f t="shared" si="3"/>
        <v>1.5999966666666665</v>
      </c>
      <c r="D18" s="211">
        <f t="shared" si="0"/>
        <v>21.331528355608437</v>
      </c>
      <c r="E18" s="212">
        <f t="shared" si="1"/>
        <v>34.130374263878977</v>
      </c>
      <c r="F18" s="212">
        <f t="shared" si="2"/>
        <v>1.6450480884477443</v>
      </c>
      <c r="G18" s="212">
        <v>1.6450480884477443</v>
      </c>
      <c r="H18" s="213" t="s">
        <v>161</v>
      </c>
      <c r="I18" s="213"/>
      <c r="J18" s="214">
        <f>F14</f>
        <v>2.0822232642473431</v>
      </c>
    </row>
    <row r="19" spans="3:10" x14ac:dyDescent="0.3">
      <c r="C19" s="210">
        <f t="shared" si="3"/>
        <v>1.7333296666666664</v>
      </c>
      <c r="D19" s="211">
        <f t="shared" si="0"/>
        <v>20.596955820923192</v>
      </c>
      <c r="E19" s="212">
        <f t="shared" si="1"/>
        <v>35.701314567428852</v>
      </c>
      <c r="F19" s="212">
        <f t="shared" si="2"/>
        <v>1.5709403035498752</v>
      </c>
      <c r="G19" s="212">
        <v>1.5709403035498752</v>
      </c>
      <c r="H19" s="213" t="s">
        <v>162</v>
      </c>
      <c r="I19" s="213"/>
      <c r="J19" s="214">
        <f>G16</f>
        <v>1.8282451802383051</v>
      </c>
    </row>
    <row r="20" spans="3:10" x14ac:dyDescent="0.3">
      <c r="C20" s="210">
        <f t="shared" si="3"/>
        <v>1.8666626666666664</v>
      </c>
      <c r="D20" s="211">
        <f t="shared" si="0"/>
        <v>19.932288108795351</v>
      </c>
      <c r="E20" s="212">
        <f t="shared" si="1"/>
        <v>37.206858073932217</v>
      </c>
      <c r="F20" s="212">
        <f t="shared" si="2"/>
        <v>1.5055435065033649</v>
      </c>
      <c r="G20" s="212">
        <v>1.5055435065033649</v>
      </c>
      <c r="H20" s="213" t="s">
        <v>163</v>
      </c>
      <c r="I20" s="213"/>
      <c r="J20" s="214">
        <f>F18</f>
        <v>1.6450480884477443</v>
      </c>
    </row>
    <row r="21" spans="3:10" ht="15" thickBot="1" x14ac:dyDescent="0.35">
      <c r="C21" s="215">
        <f>C20+0.133333</f>
        <v>1.9999956666666663</v>
      </c>
      <c r="D21" s="216">
        <f t="shared" si="0"/>
        <v>19.327128864022537</v>
      </c>
      <c r="E21" s="217">
        <f t="shared" si="1"/>
        <v>38.65417397715332</v>
      </c>
      <c r="F21" s="217">
        <f t="shared" si="2"/>
        <v>1.4473159032211029</v>
      </c>
      <c r="G21" s="217">
        <v>1.4473159032211029</v>
      </c>
      <c r="H21" s="218" t="s">
        <v>164</v>
      </c>
      <c r="I21" s="218"/>
      <c r="J21" s="219">
        <f>F20</f>
        <v>1.5055435065033649</v>
      </c>
    </row>
    <row r="22" spans="3:10" x14ac:dyDescent="0.3">
      <c r="C22" s="220"/>
    </row>
  </sheetData>
  <mergeCells count="22">
    <mergeCell ref="H18:I18"/>
    <mergeCell ref="H19:I19"/>
    <mergeCell ref="H20:I20"/>
    <mergeCell ref="H21:I21"/>
    <mergeCell ref="H12:I12"/>
    <mergeCell ref="H13:I13"/>
    <mergeCell ref="H14:I14"/>
    <mergeCell ref="H15:I15"/>
    <mergeCell ref="H16:I16"/>
    <mergeCell ref="H17:I17"/>
    <mergeCell ref="J5:J6"/>
    <mergeCell ref="H7:I7"/>
    <mergeCell ref="H8:I8"/>
    <mergeCell ref="H9:I9"/>
    <mergeCell ref="H10:I10"/>
    <mergeCell ref="H11:I11"/>
    <mergeCell ref="C5:C6"/>
    <mergeCell ref="D5:D6"/>
    <mergeCell ref="E5:E6"/>
    <mergeCell ref="F5:F6"/>
    <mergeCell ref="G5:G6"/>
    <mergeCell ref="H5:I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FDE03-E5DF-47A1-BC38-25D610E57847}">
  <dimension ref="B3:AB58"/>
  <sheetViews>
    <sheetView tabSelected="1" topLeftCell="H12" zoomScale="68" zoomScaleNormal="90" workbookViewId="0">
      <selection activeCell="W25" sqref="W25"/>
    </sheetView>
  </sheetViews>
  <sheetFormatPr defaultRowHeight="14.4" x14ac:dyDescent="0.3"/>
  <cols>
    <col min="13" max="13" width="13.21875" customWidth="1"/>
  </cols>
  <sheetData>
    <row r="3" spans="2:28" ht="15" thickBot="1" x14ac:dyDescent="0.35"/>
    <row r="4" spans="2:28" x14ac:dyDescent="0.3">
      <c r="B4" s="197" t="s">
        <v>144</v>
      </c>
      <c r="C4" s="198" t="s">
        <v>11</v>
      </c>
      <c r="D4" s="199" t="s">
        <v>145</v>
      </c>
      <c r="E4" s="199" t="s">
        <v>146</v>
      </c>
      <c r="F4" s="199" t="s">
        <v>147</v>
      </c>
      <c r="G4" s="199" t="s">
        <v>148</v>
      </c>
      <c r="H4" s="199"/>
      <c r="I4" s="200" t="s">
        <v>149</v>
      </c>
    </row>
    <row r="5" spans="2:28" ht="15" thickBot="1" x14ac:dyDescent="0.35">
      <c r="B5" s="201"/>
      <c r="C5" s="202"/>
      <c r="D5" s="203"/>
      <c r="E5" s="203"/>
      <c r="F5" s="203"/>
      <c r="G5" s="203"/>
      <c r="H5" s="203"/>
      <c r="I5" s="204"/>
    </row>
    <row r="6" spans="2:28" x14ac:dyDescent="0.3">
      <c r="B6" s="205">
        <f>2/15</f>
        <v>0.13333333333333333</v>
      </c>
      <c r="C6" s="206">
        <f>(121.588*20^(0.229237))/((B6*60)+17.2111)^0.513228</f>
        <v>46.110387734488093</v>
      </c>
      <c r="D6" s="207">
        <f>C6*B6</f>
        <v>6.1480516979317459</v>
      </c>
      <c r="E6" s="207">
        <f>D6</f>
        <v>6.1480516979317459</v>
      </c>
      <c r="F6" s="207">
        <v>6.1480516979317459</v>
      </c>
      <c r="G6" s="208" t="s">
        <v>150</v>
      </c>
      <c r="H6" s="208"/>
      <c r="I6" s="209">
        <f>F20</f>
        <v>1.4473159032211029</v>
      </c>
    </row>
    <row r="7" spans="2:28" x14ac:dyDescent="0.3">
      <c r="B7" s="210">
        <f>4/15</f>
        <v>0.26666666666666666</v>
      </c>
      <c r="C7" s="211">
        <f t="shared" ref="C7:C20" si="0">(121.588*20^(0.229237))/((B7*60)+17.2111)^0.513228</f>
        <v>40.028541185646262</v>
      </c>
      <c r="D7" s="212">
        <f t="shared" ref="D7:D20" si="1">C7*B7</f>
        <v>10.674277649505669</v>
      </c>
      <c r="E7" s="212">
        <f>(D7-D6)</f>
        <v>4.5262259515739229</v>
      </c>
      <c r="F7" s="212">
        <v>4.5262259515739229</v>
      </c>
      <c r="G7" s="213" t="s">
        <v>151</v>
      </c>
      <c r="H7" s="213"/>
      <c r="I7" s="214">
        <f>E18</f>
        <v>1.5709403035498752</v>
      </c>
    </row>
    <row r="8" spans="2:28" x14ac:dyDescent="0.3">
      <c r="B8" s="210">
        <f>B7+0.133333</f>
        <v>0.39999966666666664</v>
      </c>
      <c r="C8" s="211">
        <f t="shared" si="0"/>
        <v>35.831461678785871</v>
      </c>
      <c r="D8" s="212">
        <f t="shared" si="1"/>
        <v>14.332572727693789</v>
      </c>
      <c r="E8" s="212">
        <f t="shared" ref="E8:E20" si="2">(D8-D7)</f>
        <v>3.6582950781881198</v>
      </c>
      <c r="F8" s="212">
        <v>3.6582950781881198</v>
      </c>
      <c r="G8" s="213" t="s">
        <v>152</v>
      </c>
      <c r="H8" s="213"/>
      <c r="I8" s="214">
        <f>F16</f>
        <v>1.7299014634949224</v>
      </c>
    </row>
    <row r="9" spans="2:28" x14ac:dyDescent="0.3">
      <c r="B9" s="210">
        <f t="shared" ref="B9:B19" si="3">B8+0.133333</f>
        <v>0.53333266666666668</v>
      </c>
      <c r="C9" s="211">
        <f t="shared" si="0"/>
        <v>32.71304434602186</v>
      </c>
      <c r="D9" s="212">
        <f t="shared" si="1"/>
        <v>17.446935175848761</v>
      </c>
      <c r="E9" s="212">
        <f t="shared" si="2"/>
        <v>3.1143624481549725</v>
      </c>
      <c r="F9" s="212">
        <v>3.1143624481549725</v>
      </c>
      <c r="G9" s="213" t="s">
        <v>153</v>
      </c>
      <c r="H9" s="213"/>
      <c r="I9" s="214">
        <f>F14</f>
        <v>1.9438785515361623</v>
      </c>
      <c r="M9" t="s">
        <v>165</v>
      </c>
    </row>
    <row r="10" spans="2:28" x14ac:dyDescent="0.3">
      <c r="B10" s="210">
        <f t="shared" si="3"/>
        <v>0.66666566666666671</v>
      </c>
      <c r="C10" s="211">
        <f t="shared" si="0"/>
        <v>30.279385924184982</v>
      </c>
      <c r="D10" s="212">
        <f t="shared" si="1"/>
        <v>20.186227003404067</v>
      </c>
      <c r="E10" s="212">
        <f t="shared" si="2"/>
        <v>2.7392918275553058</v>
      </c>
      <c r="F10" s="212">
        <v>2.7392918275553058</v>
      </c>
      <c r="G10" s="213" t="s">
        <v>154</v>
      </c>
      <c r="H10" s="213"/>
      <c r="I10" s="214">
        <f>E12</f>
        <v>2.2513045825240461</v>
      </c>
      <c r="M10" s="221">
        <f>SUM(I6:I20)</f>
        <v>38.65417397715332</v>
      </c>
    </row>
    <row r="11" spans="2:28" x14ac:dyDescent="0.3">
      <c r="B11" s="210">
        <f t="shared" si="3"/>
        <v>0.79999866666666675</v>
      </c>
      <c r="C11" s="211">
        <f t="shared" si="0"/>
        <v>28.31226360384407</v>
      </c>
      <c r="D11" s="212">
        <f t="shared" si="1"/>
        <v>22.649773133390454</v>
      </c>
      <c r="E11" s="212">
        <f t="shared" si="2"/>
        <v>2.463546129986387</v>
      </c>
      <c r="F11" s="212">
        <v>2.463546129986387</v>
      </c>
      <c r="G11" s="213" t="s">
        <v>155</v>
      </c>
      <c r="H11" s="213"/>
      <c r="I11" s="214">
        <f>E10</f>
        <v>2.7392918275553058</v>
      </c>
      <c r="M11" t="s">
        <v>166</v>
      </c>
    </row>
    <row r="12" spans="2:28" x14ac:dyDescent="0.3">
      <c r="B12" s="210">
        <f t="shared" si="3"/>
        <v>0.93333166666666678</v>
      </c>
      <c r="C12" s="211">
        <f t="shared" si="0"/>
        <v>26.679773766647259</v>
      </c>
      <c r="D12" s="212">
        <f t="shared" si="1"/>
        <v>24.9010777159145</v>
      </c>
      <c r="E12" s="212">
        <f t="shared" si="2"/>
        <v>2.2513045825240461</v>
      </c>
      <c r="F12" s="212">
        <v>2.2513045825240461</v>
      </c>
      <c r="G12" s="213" t="s">
        <v>156</v>
      </c>
      <c r="H12" s="213"/>
      <c r="I12" s="214">
        <f>E8</f>
        <v>3.6582950781881198</v>
      </c>
      <c r="M12" t="s">
        <v>167</v>
      </c>
    </row>
    <row r="13" spans="2:28" x14ac:dyDescent="0.3">
      <c r="B13" s="210">
        <f t="shared" si="3"/>
        <v>1.0666646666666668</v>
      </c>
      <c r="C13" s="211">
        <f t="shared" si="0"/>
        <v>25.296892100574414</v>
      </c>
      <c r="D13" s="212">
        <f t="shared" si="1"/>
        <v>26.983300980161843</v>
      </c>
      <c r="E13" s="212">
        <f t="shared" si="2"/>
        <v>2.0822232642473431</v>
      </c>
      <c r="F13" s="212">
        <v>2.0822232642473431</v>
      </c>
      <c r="G13" s="213" t="s">
        <v>157</v>
      </c>
      <c r="H13" s="213"/>
      <c r="I13" s="214">
        <f>E6</f>
        <v>6.1480516979317459</v>
      </c>
    </row>
    <row r="14" spans="2:28" ht="28.8" x14ac:dyDescent="0.3">
      <c r="B14" s="210">
        <f t="shared" si="3"/>
        <v>1.1999976666666667</v>
      </c>
      <c r="C14" s="211">
        <f t="shared" si="0"/>
        <v>24.106029815917424</v>
      </c>
      <c r="D14" s="212">
        <f t="shared" si="1"/>
        <v>28.927179531698005</v>
      </c>
      <c r="E14" s="212">
        <f t="shared" si="2"/>
        <v>1.9438785515361623</v>
      </c>
      <c r="F14" s="212">
        <v>1.9438785515361623</v>
      </c>
      <c r="G14" s="213" t="s">
        <v>158</v>
      </c>
      <c r="H14" s="213"/>
      <c r="I14" s="214">
        <f>E7</f>
        <v>4.5262259515739229</v>
      </c>
      <c r="M14" s="222" t="s">
        <v>168</v>
      </c>
      <c r="N14">
        <f>M10/2</f>
        <v>19.32708698857666</v>
      </c>
    </row>
    <row r="15" spans="2:28" x14ac:dyDescent="0.3">
      <c r="B15" s="210">
        <f t="shared" si="3"/>
        <v>1.3333306666666667</v>
      </c>
      <c r="C15" s="211">
        <f t="shared" si="0"/>
        <v>23.066614667181568</v>
      </c>
      <c r="D15" s="212">
        <f t="shared" si="1"/>
        <v>30.75542471193631</v>
      </c>
      <c r="E15" s="212">
        <f t="shared" si="2"/>
        <v>1.8282451802383051</v>
      </c>
      <c r="F15" s="212">
        <v>1.8282451802383051</v>
      </c>
      <c r="G15" s="213" t="s">
        <v>159</v>
      </c>
      <c r="H15" s="213"/>
      <c r="I15" s="214">
        <f>E9</f>
        <v>3.1143624481549725</v>
      </c>
      <c r="T15" s="223" t="s">
        <v>169</v>
      </c>
      <c r="U15" s="223"/>
      <c r="V15" s="223"/>
      <c r="W15" s="223"/>
      <c r="X15" s="223"/>
      <c r="Y15" s="223"/>
      <c r="Z15" s="223"/>
      <c r="AA15" s="223"/>
      <c r="AB15" s="223"/>
    </row>
    <row r="16" spans="2:28" x14ac:dyDescent="0.3">
      <c r="B16" s="210">
        <f t="shared" si="3"/>
        <v>1.4666636666666666</v>
      </c>
      <c r="C16" s="211">
        <f t="shared" si="0"/>
        <v>22.149131333744478</v>
      </c>
      <c r="D16" s="212">
        <f t="shared" si="1"/>
        <v>32.485326175431233</v>
      </c>
      <c r="E16" s="212">
        <f t="shared" si="2"/>
        <v>1.7299014634949224</v>
      </c>
      <c r="F16" s="212">
        <v>1.7299014634949224</v>
      </c>
      <c r="G16" s="213" t="s">
        <v>160</v>
      </c>
      <c r="H16" s="213"/>
      <c r="I16" s="214">
        <f>E11</f>
        <v>2.463546129986387</v>
      </c>
      <c r="T16" s="223"/>
      <c r="U16" s="223"/>
      <c r="V16" s="223"/>
      <c r="W16" s="223"/>
      <c r="X16" s="223"/>
      <c r="Y16" s="223"/>
      <c r="Z16" s="223"/>
      <c r="AA16" s="223"/>
      <c r="AB16" s="223"/>
    </row>
    <row r="17" spans="2:23" x14ac:dyDescent="0.3">
      <c r="B17" s="210">
        <f t="shared" si="3"/>
        <v>1.5999966666666665</v>
      </c>
      <c r="C17" s="211">
        <f t="shared" si="0"/>
        <v>21.331528355608437</v>
      </c>
      <c r="D17" s="212">
        <f t="shared" si="1"/>
        <v>34.130374263878977</v>
      </c>
      <c r="E17" s="212">
        <f t="shared" si="2"/>
        <v>1.6450480884477443</v>
      </c>
      <c r="F17" s="212">
        <v>1.6450480884477443</v>
      </c>
      <c r="G17" s="213" t="s">
        <v>161</v>
      </c>
      <c r="H17" s="213"/>
      <c r="I17" s="214">
        <f>E13</f>
        <v>2.0822232642473431</v>
      </c>
    </row>
    <row r="18" spans="2:23" x14ac:dyDescent="0.3">
      <c r="B18" s="210">
        <f t="shared" si="3"/>
        <v>1.7333296666666664</v>
      </c>
      <c r="C18" s="211">
        <f t="shared" si="0"/>
        <v>20.596955820923192</v>
      </c>
      <c r="D18" s="212">
        <f t="shared" si="1"/>
        <v>35.701314567428852</v>
      </c>
      <c r="E18" s="212">
        <f t="shared" si="2"/>
        <v>1.5709403035498752</v>
      </c>
      <c r="F18" s="212">
        <v>1.5709403035498752</v>
      </c>
      <c r="G18" s="213" t="s">
        <v>162</v>
      </c>
      <c r="H18" s="213"/>
      <c r="I18" s="214">
        <f>F15</f>
        <v>1.8282451802383051</v>
      </c>
    </row>
    <row r="19" spans="2:23" x14ac:dyDescent="0.3">
      <c r="B19" s="210">
        <f t="shared" si="3"/>
        <v>1.8666626666666664</v>
      </c>
      <c r="C19" s="211">
        <f t="shared" si="0"/>
        <v>19.932288108795351</v>
      </c>
      <c r="D19" s="212">
        <f t="shared" si="1"/>
        <v>37.206858073932217</v>
      </c>
      <c r="E19" s="212">
        <f t="shared" si="2"/>
        <v>1.5055435065033649</v>
      </c>
      <c r="F19" s="212">
        <v>1.5055435065033649</v>
      </c>
      <c r="G19" s="213" t="s">
        <v>163</v>
      </c>
      <c r="H19" s="213"/>
      <c r="I19" s="214">
        <f>E17</f>
        <v>1.6450480884477443</v>
      </c>
    </row>
    <row r="20" spans="2:23" ht="15" thickBot="1" x14ac:dyDescent="0.35">
      <c r="B20" s="215">
        <f>B19+0.133333</f>
        <v>1.9999956666666663</v>
      </c>
      <c r="C20" s="216">
        <f t="shared" si="0"/>
        <v>19.327128864022537</v>
      </c>
      <c r="D20" s="217">
        <f t="shared" si="1"/>
        <v>38.65417397715332</v>
      </c>
      <c r="E20" s="217">
        <f t="shared" si="2"/>
        <v>1.4473159032211029</v>
      </c>
      <c r="F20" s="217">
        <v>1.4473159032211029</v>
      </c>
      <c r="G20" s="218" t="s">
        <v>164</v>
      </c>
      <c r="H20" s="218"/>
      <c r="I20" s="219">
        <f>E19</f>
        <v>1.5055435065033649</v>
      </c>
    </row>
    <row r="21" spans="2:23" x14ac:dyDescent="0.3">
      <c r="B21" s="220"/>
    </row>
    <row r="22" spans="2:23" x14ac:dyDescent="0.3">
      <c r="V22" t="s">
        <v>170</v>
      </c>
    </row>
    <row r="23" spans="2:23" x14ac:dyDescent="0.3">
      <c r="V23" t="s">
        <v>171</v>
      </c>
      <c r="W23">
        <f>N14*H26</f>
        <v>7.7231039606352345E-2</v>
      </c>
    </row>
    <row r="24" spans="2:23" ht="15" thickBot="1" x14ac:dyDescent="0.35"/>
    <row r="25" spans="2:23" ht="101.4" thickBot="1" x14ac:dyDescent="0.35">
      <c r="C25" s="116" t="s">
        <v>55</v>
      </c>
      <c r="D25" s="117" t="s">
        <v>56</v>
      </c>
      <c r="E25" s="117" t="s">
        <v>57</v>
      </c>
      <c r="F25" s="117" t="s">
        <v>58</v>
      </c>
      <c r="G25" s="117" t="s">
        <v>59</v>
      </c>
      <c r="H25" s="117" t="s">
        <v>65</v>
      </c>
      <c r="I25" s="117" t="s">
        <v>60</v>
      </c>
      <c r="J25" s="117" t="s">
        <v>61</v>
      </c>
      <c r="K25" s="117" t="s">
        <v>64</v>
      </c>
      <c r="L25" s="117" t="s">
        <v>62</v>
      </c>
      <c r="M25" s="118" t="s">
        <v>63</v>
      </c>
      <c r="O25" s="121" t="s">
        <v>125</v>
      </c>
      <c r="P25" s="117" t="s">
        <v>87</v>
      </c>
      <c r="Q25" s="117" t="s">
        <v>107</v>
      </c>
      <c r="R25" s="118" t="s">
        <v>85</v>
      </c>
      <c r="V25" t="s">
        <v>172</v>
      </c>
    </row>
    <row r="26" spans="2:23" x14ac:dyDescent="0.3">
      <c r="C26" s="111" t="s">
        <v>69</v>
      </c>
      <c r="D26" s="112" t="s">
        <v>76</v>
      </c>
      <c r="E26" s="113">
        <v>9.0000000000000011E-3</v>
      </c>
      <c r="F26" s="113">
        <v>0.44400000000000001</v>
      </c>
      <c r="G26" s="113">
        <v>3.9960000000000004E-3</v>
      </c>
      <c r="H26" s="113">
        <v>3.9960000000000004E-3</v>
      </c>
      <c r="I26" s="114">
        <v>18.7867</v>
      </c>
      <c r="J26" s="113" t="s">
        <v>121</v>
      </c>
      <c r="K26" s="114">
        <v>18.7867</v>
      </c>
      <c r="L26" s="114">
        <v>18.7867</v>
      </c>
      <c r="M26" s="115">
        <v>27.950919758215385</v>
      </c>
      <c r="O26" s="122" t="s">
        <v>76</v>
      </c>
      <c r="P26" s="114">
        <v>18.7867</v>
      </c>
      <c r="Q26" s="123">
        <v>27.950919758215385</v>
      </c>
      <c r="R26" s="124">
        <v>0.44400000000000001</v>
      </c>
    </row>
    <row r="27" spans="2:23" x14ac:dyDescent="0.3">
      <c r="C27" s="96" t="s">
        <v>70</v>
      </c>
      <c r="D27" s="92" t="s">
        <v>66</v>
      </c>
      <c r="E27" s="93">
        <v>4.0000000000000001E-3</v>
      </c>
      <c r="F27" s="93">
        <v>0.39</v>
      </c>
      <c r="G27" s="93">
        <v>1.5600000000000002E-3</v>
      </c>
      <c r="H27" s="93"/>
      <c r="I27" s="94">
        <v>9.2394999999999996</v>
      </c>
      <c r="J27" s="93" t="s">
        <v>121</v>
      </c>
      <c r="K27" s="93">
        <v>9.2394999999999996</v>
      </c>
      <c r="L27" s="93"/>
      <c r="M27" s="97"/>
      <c r="O27" s="107" t="s">
        <v>77</v>
      </c>
      <c r="P27" s="94">
        <v>17.2179</v>
      </c>
      <c r="Q27" s="95">
        <v>28.597486343958884</v>
      </c>
      <c r="R27" s="98">
        <v>0.436</v>
      </c>
    </row>
    <row r="28" spans="2:23" x14ac:dyDescent="0.3">
      <c r="C28" s="96"/>
      <c r="D28" s="93">
        <v>11</v>
      </c>
      <c r="E28" s="93" t="s">
        <v>121</v>
      </c>
      <c r="F28" s="93" t="s">
        <v>121</v>
      </c>
      <c r="G28" s="93">
        <v>3.9960000000000004E-3</v>
      </c>
      <c r="H28" s="93"/>
      <c r="I28" s="93">
        <v>18.7867</v>
      </c>
      <c r="J28" s="93">
        <v>42.160366806392148</v>
      </c>
      <c r="K28" s="93">
        <v>60.947066806392144</v>
      </c>
      <c r="L28" s="93"/>
      <c r="M28" s="97"/>
      <c r="O28" s="107" t="s">
        <v>66</v>
      </c>
      <c r="P28" s="94">
        <v>9.2394999999999996</v>
      </c>
      <c r="Q28" s="95">
        <v>32.740609543815168</v>
      </c>
      <c r="R28" s="98">
        <v>0.39</v>
      </c>
    </row>
    <row r="29" spans="2:23" x14ac:dyDescent="0.3">
      <c r="C29" s="96"/>
      <c r="D29" s="93"/>
      <c r="E29" s="93"/>
      <c r="F29" s="93"/>
      <c r="G29" s="93"/>
      <c r="H29" s="93">
        <v>9.5520000000000015E-3</v>
      </c>
      <c r="I29" s="93"/>
      <c r="J29" s="93"/>
      <c r="K29" s="93"/>
      <c r="L29" s="93">
        <v>60.947066806392144</v>
      </c>
      <c r="M29" s="97">
        <v>18.775566719193041</v>
      </c>
      <c r="O29" s="107" t="s">
        <v>67</v>
      </c>
      <c r="P29" s="94">
        <v>14.2249</v>
      </c>
      <c r="Q29" s="95">
        <v>29.963938262741763</v>
      </c>
      <c r="R29" s="98">
        <v>0.45100000000000001</v>
      </c>
    </row>
    <row r="30" spans="2:23" ht="15" thickBot="1" x14ac:dyDescent="0.35">
      <c r="C30" s="96" t="s">
        <v>72</v>
      </c>
      <c r="D30" s="92" t="s">
        <v>77</v>
      </c>
      <c r="E30" s="93">
        <v>8.5000000000000006E-3</v>
      </c>
      <c r="F30" s="93">
        <v>0.436</v>
      </c>
      <c r="G30" s="93">
        <v>3.7060000000000001E-3</v>
      </c>
      <c r="H30" s="93">
        <v>3.7060000000000001E-3</v>
      </c>
      <c r="I30" s="93">
        <v>17.2179</v>
      </c>
      <c r="J30" s="93"/>
      <c r="K30" s="93">
        <v>17.2179</v>
      </c>
      <c r="L30" s="93">
        <v>17.2179</v>
      </c>
      <c r="M30" s="97">
        <v>28.597486343958884</v>
      </c>
      <c r="O30" s="108" t="s">
        <v>68</v>
      </c>
      <c r="P30" s="109">
        <v>31.454999999999998</v>
      </c>
      <c r="Q30" s="110">
        <v>23.943553042813758</v>
      </c>
      <c r="R30" s="102">
        <v>0.435</v>
      </c>
    </row>
    <row r="31" spans="2:23" x14ac:dyDescent="0.3">
      <c r="C31" s="96" t="s">
        <v>71</v>
      </c>
      <c r="D31" s="93">
        <v>21</v>
      </c>
      <c r="E31" s="93" t="s">
        <v>121</v>
      </c>
      <c r="F31" s="93" t="s">
        <v>121</v>
      </c>
      <c r="G31" s="93">
        <v>9.5520000000000015E-3</v>
      </c>
      <c r="H31" s="93"/>
      <c r="I31" s="93">
        <v>9.2394999999999996</v>
      </c>
      <c r="J31" s="93">
        <v>14.981245664210292</v>
      </c>
      <c r="K31" s="93">
        <v>24.220745664210291</v>
      </c>
      <c r="L31" s="93"/>
      <c r="M31" s="98"/>
    </row>
    <row r="32" spans="2:23" x14ac:dyDescent="0.3">
      <c r="C32" s="96"/>
      <c r="D32" s="93">
        <v>23</v>
      </c>
      <c r="E32" s="93" t="s">
        <v>121</v>
      </c>
      <c r="F32" s="93" t="s">
        <v>121</v>
      </c>
      <c r="G32" s="93">
        <v>3.7060000000000001E-3</v>
      </c>
      <c r="H32" s="93"/>
      <c r="I32" s="93">
        <v>17.2179</v>
      </c>
      <c r="J32" s="93">
        <v>25.630242056887642</v>
      </c>
      <c r="K32" s="93">
        <v>42.848142056887639</v>
      </c>
      <c r="L32" s="93"/>
      <c r="M32" s="98"/>
    </row>
    <row r="33" spans="3:18" x14ac:dyDescent="0.3">
      <c r="C33" s="96"/>
      <c r="D33" s="93"/>
      <c r="E33" s="93"/>
      <c r="F33" s="93"/>
      <c r="G33" s="93"/>
      <c r="H33" s="93">
        <v>1.3258000000000002E-2</v>
      </c>
      <c r="I33" s="93"/>
      <c r="J33" s="93"/>
      <c r="K33" s="93"/>
      <c r="L33" s="93">
        <v>42.848142056887639</v>
      </c>
      <c r="M33" s="97">
        <v>21.49332095264171</v>
      </c>
    </row>
    <row r="34" spans="3:18" x14ac:dyDescent="0.3">
      <c r="C34" s="96" t="s">
        <v>74</v>
      </c>
      <c r="D34" s="92" t="s">
        <v>67</v>
      </c>
      <c r="E34" s="93">
        <v>8.3999999999999995E-3</v>
      </c>
      <c r="F34" s="93">
        <v>0.45100000000000001</v>
      </c>
      <c r="G34" s="93">
        <v>3.7883999999999999E-3</v>
      </c>
      <c r="H34" s="93">
        <v>3.7883999999999999E-3</v>
      </c>
      <c r="I34" s="93">
        <v>14.2249</v>
      </c>
      <c r="J34" s="93"/>
      <c r="K34" s="93">
        <v>14.2249</v>
      </c>
      <c r="L34" s="93">
        <v>14.2249</v>
      </c>
      <c r="M34" s="97">
        <v>29.963938262741763</v>
      </c>
      <c r="Q34" s="143" t="s">
        <v>123</v>
      </c>
      <c r="R34" s="143"/>
    </row>
    <row r="35" spans="3:18" x14ac:dyDescent="0.3">
      <c r="C35" s="96" t="s">
        <v>75</v>
      </c>
      <c r="D35" s="92" t="s">
        <v>68</v>
      </c>
      <c r="E35" s="93">
        <v>9.0000000000000011E-3</v>
      </c>
      <c r="F35" s="93">
        <v>0.435</v>
      </c>
      <c r="G35" s="93">
        <v>3.9150000000000001E-3</v>
      </c>
      <c r="H35" s="93">
        <v>3.9150000000000001E-3</v>
      </c>
      <c r="I35" s="93">
        <v>31.454999999999998</v>
      </c>
      <c r="J35" s="93"/>
      <c r="K35" s="93">
        <v>31.454999999999998</v>
      </c>
      <c r="L35" s="93">
        <v>31.454999999999998</v>
      </c>
      <c r="M35" s="97">
        <v>23.943553042813758</v>
      </c>
      <c r="Q35" s="143" t="s">
        <v>124</v>
      </c>
      <c r="R35" s="143"/>
    </row>
    <row r="36" spans="3:18" x14ac:dyDescent="0.3">
      <c r="C36" s="96" t="s">
        <v>73</v>
      </c>
      <c r="D36" s="93">
        <v>31</v>
      </c>
      <c r="E36" s="93" t="s">
        <v>121</v>
      </c>
      <c r="F36" s="93" t="s">
        <v>121</v>
      </c>
      <c r="G36" s="93">
        <v>1.3258000000000002E-2</v>
      </c>
      <c r="H36" s="93"/>
      <c r="I36" s="93"/>
      <c r="J36" s="93">
        <v>16.679552556563177</v>
      </c>
      <c r="K36" s="93">
        <v>16.679552556563177</v>
      </c>
      <c r="L36" s="93"/>
      <c r="M36" s="98"/>
    </row>
    <row r="37" spans="3:18" x14ac:dyDescent="0.3">
      <c r="C37" s="96"/>
      <c r="D37" s="93">
        <v>44</v>
      </c>
      <c r="E37" s="93" t="s">
        <v>121</v>
      </c>
      <c r="F37" s="93" t="s">
        <v>121</v>
      </c>
      <c r="G37" s="93">
        <v>3.7883999999999999E-3</v>
      </c>
      <c r="H37" s="93"/>
      <c r="I37" s="93"/>
      <c r="J37" s="93">
        <v>25.194012845205172</v>
      </c>
      <c r="K37" s="93">
        <v>25.194012845205172</v>
      </c>
      <c r="L37" s="93"/>
      <c r="M37" s="98"/>
    </row>
    <row r="38" spans="3:18" x14ac:dyDescent="0.3">
      <c r="C38" s="96"/>
      <c r="D38" s="93">
        <v>54</v>
      </c>
      <c r="E38" s="93" t="s">
        <v>121</v>
      </c>
      <c r="F38" s="93" t="s">
        <v>121</v>
      </c>
      <c r="G38" s="93">
        <v>3.9150000000000001E-3</v>
      </c>
      <c r="H38" s="93"/>
      <c r="I38" s="93"/>
      <c r="J38" s="93">
        <v>30.833847892465315</v>
      </c>
      <c r="K38" s="93">
        <v>30.833847892465315</v>
      </c>
      <c r="L38" s="93"/>
      <c r="M38" s="98"/>
    </row>
    <row r="39" spans="3:18" x14ac:dyDescent="0.3">
      <c r="C39" s="99"/>
      <c r="D39" s="93"/>
      <c r="E39" s="93"/>
      <c r="F39" s="93"/>
      <c r="G39" s="93"/>
      <c r="H39" s="93">
        <v>2.0961400000000005E-2</v>
      </c>
      <c r="I39" s="93"/>
      <c r="J39" s="93"/>
      <c r="K39" s="93"/>
      <c r="L39" s="93">
        <v>30.833847892465315</v>
      </c>
      <c r="M39" s="97">
        <v>24.101928969755864</v>
      </c>
    </row>
    <row r="40" spans="3:18" ht="15" thickBot="1" x14ac:dyDescent="0.35">
      <c r="C40" s="100"/>
      <c r="D40" s="101"/>
      <c r="E40" s="101"/>
      <c r="F40" s="101"/>
      <c r="G40" s="101"/>
      <c r="H40" s="101"/>
      <c r="I40" s="101"/>
      <c r="J40" s="101"/>
      <c r="K40" s="101"/>
      <c r="L40" s="101"/>
      <c r="M40" s="102"/>
    </row>
    <row r="43" spans="3:18" ht="15" thickBot="1" x14ac:dyDescent="0.35"/>
    <row r="44" spans="3:18" ht="87" thickBot="1" x14ac:dyDescent="0.35">
      <c r="C44" s="121" t="s">
        <v>139</v>
      </c>
      <c r="D44" s="117" t="s">
        <v>111</v>
      </c>
      <c r="E44" s="117" t="s">
        <v>112</v>
      </c>
      <c r="F44" s="117" t="s">
        <v>113</v>
      </c>
      <c r="G44" s="117" t="s">
        <v>114</v>
      </c>
      <c r="H44" s="117" t="s">
        <v>129</v>
      </c>
      <c r="I44" s="117" t="s">
        <v>128</v>
      </c>
      <c r="J44" s="117" t="s">
        <v>130</v>
      </c>
      <c r="K44" s="117" t="s">
        <v>115</v>
      </c>
      <c r="L44" s="117" t="s">
        <v>131</v>
      </c>
      <c r="M44" s="117" t="s">
        <v>122</v>
      </c>
      <c r="N44" s="117" t="s">
        <v>140</v>
      </c>
      <c r="O44" s="117" t="s">
        <v>141</v>
      </c>
      <c r="P44" s="117" t="s">
        <v>142</v>
      </c>
      <c r="Q44" s="117" t="s">
        <v>143</v>
      </c>
    </row>
    <row r="45" spans="3:18" x14ac:dyDescent="0.3">
      <c r="C45" s="119">
        <v>11</v>
      </c>
      <c r="D45" s="113">
        <v>137.1</v>
      </c>
      <c r="E45" s="113">
        <v>1000</v>
      </c>
      <c r="F45" s="113">
        <v>2E-3</v>
      </c>
      <c r="G45" s="113">
        <v>3.1025520931619078E-2</v>
      </c>
      <c r="H45" s="113">
        <v>2.1177189962003586</v>
      </c>
      <c r="I45" s="113">
        <v>7.4120164867012561E-2</v>
      </c>
      <c r="J45" s="113">
        <v>0.2</v>
      </c>
      <c r="K45" s="113">
        <v>0.39531597870585294</v>
      </c>
      <c r="L45" s="113">
        <v>42.160366806392148</v>
      </c>
      <c r="M45" s="113">
        <v>2</v>
      </c>
      <c r="N45" s="113">
        <v>137.1</v>
      </c>
      <c r="O45" s="113">
        <v>136.9</v>
      </c>
      <c r="P45" s="113">
        <v>135.1</v>
      </c>
      <c r="Q45" s="142">
        <v>134.9</v>
      </c>
    </row>
    <row r="46" spans="3:18" x14ac:dyDescent="0.3">
      <c r="C46" s="99">
        <v>21</v>
      </c>
      <c r="D46" s="93">
        <v>136.5</v>
      </c>
      <c r="E46" s="93">
        <v>400</v>
      </c>
      <c r="F46" s="93">
        <v>3.5000000000000001E-3</v>
      </c>
      <c r="G46" s="93">
        <v>4.9817837028258871E-2</v>
      </c>
      <c r="H46" s="113">
        <v>2.5292572398912543</v>
      </c>
      <c r="I46" s="113">
        <v>8.8524003396193915E-2</v>
      </c>
      <c r="J46" s="113">
        <v>0.2</v>
      </c>
      <c r="K46" s="113">
        <v>0.44500082410323971</v>
      </c>
      <c r="L46" s="93">
        <v>14.981245664210292</v>
      </c>
      <c r="M46" s="93">
        <v>1.4000000000000001</v>
      </c>
      <c r="N46" s="113">
        <v>136.5</v>
      </c>
      <c r="O46" s="113">
        <v>136.30000000000001</v>
      </c>
      <c r="P46" s="93">
        <v>135.1</v>
      </c>
      <c r="Q46" s="142">
        <v>134.9</v>
      </c>
    </row>
    <row r="47" spans="3:18" x14ac:dyDescent="0.3">
      <c r="C47" s="99">
        <v>23</v>
      </c>
      <c r="D47" s="93">
        <v>131.6</v>
      </c>
      <c r="E47" s="93">
        <v>600</v>
      </c>
      <c r="F47" s="93">
        <v>4.0000000000000001E-3</v>
      </c>
      <c r="G47" s="93">
        <v>2.9439523441864342E-2</v>
      </c>
      <c r="H47" s="113">
        <v>2.0764559255126454</v>
      </c>
      <c r="I47" s="113">
        <v>7.2675957392942594E-2</v>
      </c>
      <c r="J47" s="113">
        <v>0.2</v>
      </c>
      <c r="K47" s="113">
        <v>0.39016408732326779</v>
      </c>
      <c r="L47" s="93">
        <v>25.630242056887642</v>
      </c>
      <c r="M47" s="93">
        <v>2.4</v>
      </c>
      <c r="N47" s="113">
        <v>131.6</v>
      </c>
      <c r="O47" s="113">
        <v>131.6</v>
      </c>
      <c r="P47" s="93">
        <v>129.19999999999999</v>
      </c>
      <c r="Q47" s="142">
        <v>129.19999999999999</v>
      </c>
    </row>
    <row r="48" spans="3:18" x14ac:dyDescent="0.3">
      <c r="C48" s="99">
        <v>31</v>
      </c>
      <c r="D48" s="93">
        <v>133.19999999999999</v>
      </c>
      <c r="E48" s="93">
        <v>500</v>
      </c>
      <c r="F48" s="93">
        <v>1E-3</v>
      </c>
      <c r="G48" s="93">
        <v>7.9155124775034405E-2</v>
      </c>
      <c r="H48" s="113">
        <v>3.0088692480425294</v>
      </c>
      <c r="I48" s="113">
        <v>0.10531042368148855</v>
      </c>
      <c r="J48" s="113">
        <v>0.2</v>
      </c>
      <c r="K48" s="113">
        <v>0.49961372195528586</v>
      </c>
      <c r="L48" s="93">
        <v>16.679552556563177</v>
      </c>
      <c r="M48" s="93">
        <v>0.5</v>
      </c>
      <c r="N48" s="113">
        <v>133.19999999999999</v>
      </c>
      <c r="O48" s="113">
        <v>129.19999999999999</v>
      </c>
      <c r="P48" s="93">
        <v>132.69999999999999</v>
      </c>
      <c r="Q48" s="142">
        <v>128.69999999999999</v>
      </c>
    </row>
    <row r="49" spans="3:17" x14ac:dyDescent="0.3">
      <c r="C49" s="99">
        <v>44</v>
      </c>
      <c r="D49" s="93">
        <v>129.5</v>
      </c>
      <c r="E49" s="93">
        <v>600</v>
      </c>
      <c r="F49" s="93">
        <v>3.2000000000000002E-3</v>
      </c>
      <c r="G49" s="93">
        <v>3.1532051031825249E-2</v>
      </c>
      <c r="H49" s="113">
        <v>2.1306188218871602</v>
      </c>
      <c r="I49" s="113">
        <v>7.4571658766050611E-2</v>
      </c>
      <c r="J49" s="113">
        <v>0.2</v>
      </c>
      <c r="K49" s="113">
        <v>0.39691969919365827</v>
      </c>
      <c r="L49" s="93">
        <v>25.194012845205172</v>
      </c>
      <c r="M49" s="93">
        <v>1.9200000000000002</v>
      </c>
      <c r="N49" s="113">
        <v>129.5</v>
      </c>
      <c r="O49" s="113">
        <v>128.69999999999999</v>
      </c>
      <c r="P49" s="93">
        <v>127.58</v>
      </c>
      <c r="Q49" s="142">
        <v>126.77999999999999</v>
      </c>
    </row>
    <row r="50" spans="3:17" x14ac:dyDescent="0.3">
      <c r="C50" s="99">
        <v>54</v>
      </c>
      <c r="D50" s="93">
        <v>132.6</v>
      </c>
      <c r="E50" s="93">
        <v>700</v>
      </c>
      <c r="F50" s="93">
        <v>4.1999999999999997E-3</v>
      </c>
      <c r="G50" s="93">
        <v>2.6038613934059963E-2</v>
      </c>
      <c r="H50" s="113">
        <v>1.9830349793122655</v>
      </c>
      <c r="I50" s="113">
        <v>6.9406224275929296E-2</v>
      </c>
      <c r="J50" s="113">
        <v>0.2</v>
      </c>
      <c r="K50" s="113">
        <v>0.37837206395240669</v>
      </c>
      <c r="L50" s="93">
        <v>30.833847892465315</v>
      </c>
      <c r="M50" s="93">
        <v>2.94</v>
      </c>
      <c r="N50" s="113">
        <v>132.6</v>
      </c>
      <c r="O50" s="113">
        <v>126.77999999999999</v>
      </c>
      <c r="P50" s="93">
        <v>129.66</v>
      </c>
      <c r="Q50" s="142">
        <v>123.83999999999999</v>
      </c>
    </row>
    <row r="51" spans="3:17" x14ac:dyDescent="0.3">
      <c r="C51" s="99"/>
      <c r="D51" s="93"/>
      <c r="E51" s="93"/>
      <c r="F51" s="93"/>
      <c r="G51" s="93"/>
      <c r="H51" s="93"/>
      <c r="I51" s="93"/>
      <c r="J51" s="93"/>
      <c r="K51" s="93"/>
      <c r="L51" s="93"/>
      <c r="M51" s="93"/>
      <c r="N51" s="93"/>
      <c r="O51" s="93"/>
      <c r="P51" s="93"/>
      <c r="Q51" s="98"/>
    </row>
    <row r="52" spans="3:17" x14ac:dyDescent="0.3">
      <c r="C52" s="99"/>
      <c r="D52" s="93"/>
      <c r="E52" s="93"/>
      <c r="F52" s="93"/>
      <c r="G52" s="93"/>
      <c r="H52" s="93"/>
      <c r="I52" s="93"/>
      <c r="J52" s="93"/>
      <c r="K52" s="93"/>
      <c r="L52" s="93"/>
      <c r="M52" s="93"/>
      <c r="N52" s="93"/>
      <c r="O52" s="93"/>
      <c r="P52" s="93"/>
      <c r="Q52" s="98"/>
    </row>
    <row r="53" spans="3:17" x14ac:dyDescent="0.3">
      <c r="C53" s="99"/>
      <c r="D53" s="93"/>
      <c r="E53" s="93"/>
      <c r="F53" s="93"/>
      <c r="G53" s="93"/>
      <c r="H53" s="93"/>
      <c r="I53" s="93"/>
      <c r="J53" s="93"/>
      <c r="K53" s="93"/>
      <c r="L53" s="93"/>
      <c r="M53" s="93"/>
      <c r="N53" s="93"/>
      <c r="O53" s="93"/>
      <c r="P53" s="93"/>
      <c r="Q53" s="98"/>
    </row>
    <row r="54" spans="3:17" x14ac:dyDescent="0.3">
      <c r="C54" s="99"/>
      <c r="D54" s="93"/>
      <c r="E54" s="93"/>
      <c r="F54" s="93"/>
      <c r="G54" s="93"/>
      <c r="H54" s="93"/>
      <c r="I54" s="93"/>
      <c r="J54" s="93"/>
      <c r="K54" s="93"/>
      <c r="L54" s="93"/>
      <c r="M54" s="93"/>
      <c r="N54" s="93"/>
      <c r="O54" s="93"/>
      <c r="P54" s="93"/>
      <c r="Q54" s="98"/>
    </row>
    <row r="55" spans="3:17" x14ac:dyDescent="0.3">
      <c r="C55" s="99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8"/>
    </row>
    <row r="56" spans="3:17" x14ac:dyDescent="0.3">
      <c r="C56" s="99"/>
      <c r="D56" s="93"/>
      <c r="E56" s="93"/>
      <c r="F56" s="93"/>
      <c r="G56" s="93"/>
      <c r="H56" s="93"/>
      <c r="I56" s="93"/>
      <c r="J56" s="93"/>
      <c r="K56" s="93"/>
      <c r="L56" s="93"/>
      <c r="M56" s="93"/>
      <c r="N56" s="93"/>
      <c r="O56" s="93"/>
      <c r="P56" s="93"/>
      <c r="Q56" s="98"/>
    </row>
    <row r="57" spans="3:17" x14ac:dyDescent="0.3">
      <c r="C57" s="99"/>
      <c r="D57" s="93"/>
      <c r="E57" s="93"/>
      <c r="F57" s="93"/>
      <c r="G57" s="93"/>
      <c r="H57" s="93"/>
      <c r="I57" s="93"/>
      <c r="J57" s="93"/>
      <c r="K57" s="93"/>
      <c r="L57" s="93"/>
      <c r="M57" s="93"/>
      <c r="N57" s="93"/>
      <c r="O57" s="93"/>
      <c r="P57" s="93"/>
      <c r="Q57" s="98"/>
    </row>
    <row r="58" spans="3:17" ht="15" thickBot="1" x14ac:dyDescent="0.35">
      <c r="C58" s="100"/>
      <c r="D58" s="101"/>
      <c r="E58" s="101"/>
      <c r="F58" s="101"/>
      <c r="G58" s="101"/>
      <c r="H58" s="101"/>
      <c r="I58" s="101"/>
      <c r="J58" s="101"/>
      <c r="K58" s="101"/>
      <c r="L58" s="101"/>
      <c r="M58" s="101"/>
      <c r="N58" s="101"/>
      <c r="O58" s="101"/>
      <c r="P58" s="101"/>
      <c r="Q58" s="102"/>
    </row>
  </sheetData>
  <mergeCells count="23">
    <mergeCell ref="G17:H17"/>
    <mergeCell ref="G18:H18"/>
    <mergeCell ref="G19:H19"/>
    <mergeCell ref="G20:H20"/>
    <mergeCell ref="T15:AB16"/>
    <mergeCell ref="G11:H11"/>
    <mergeCell ref="G12:H12"/>
    <mergeCell ref="G13:H13"/>
    <mergeCell ref="G14:H14"/>
    <mergeCell ref="G15:H15"/>
    <mergeCell ref="G16:H16"/>
    <mergeCell ref="I4:I5"/>
    <mergeCell ref="G6:H6"/>
    <mergeCell ref="G7:H7"/>
    <mergeCell ref="G8:H8"/>
    <mergeCell ref="G9:H9"/>
    <mergeCell ref="G10:H10"/>
    <mergeCell ref="B4:B5"/>
    <mergeCell ref="C4:C5"/>
    <mergeCell ref="D4:D5"/>
    <mergeCell ref="E4:E5"/>
    <mergeCell ref="F4:F5"/>
    <mergeCell ref="G4:H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gumbel</vt:lpstr>
      <vt:lpstr>lognormal</vt:lpstr>
      <vt:lpstr>Best Fit</vt:lpstr>
      <vt:lpstr>Time of Conc</vt:lpstr>
      <vt:lpstr>Drainage Design </vt:lpstr>
      <vt:lpstr>Triangular Gutter curb inlet  </vt:lpstr>
      <vt:lpstr>Hyetograph</vt:lpstr>
      <vt:lpstr>Adequecy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Tarun Yadav</cp:lastModifiedBy>
  <dcterms:created xsi:type="dcterms:W3CDTF">2023-02-11T13:26:57Z</dcterms:created>
  <dcterms:modified xsi:type="dcterms:W3CDTF">2023-02-17T18:22:42Z</dcterms:modified>
</cp:coreProperties>
</file>